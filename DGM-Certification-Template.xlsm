
<file path=[Content_Types].xml><?xml version="1.0" encoding="utf-8"?>
<Types xmlns="http://schemas.openxmlformats.org/package/2006/content-types">
  <Default Extension="bin" ContentType="application/vnd.ms-office.vbaProject"/>
  <Default Extension="gif" ContentType="image/gi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apex\DGM\Excel\"/>
    </mc:Choice>
  </mc:AlternateContent>
  <xr:revisionPtr revIDLastSave="0" documentId="13_ncr:1_{B963DE76-CC26-4C46-8965-3E15AB02067B}" xr6:coauthVersionLast="47" xr6:coauthVersionMax="47" xr10:uidLastSave="{00000000-0000-0000-0000-000000000000}"/>
  <bookViews>
    <workbookView xWindow="3930" yWindow="420" windowWidth="22845" windowHeight="19275" xr2:uid="{8C31FA80-CD01-4574-A2E1-6E7B9BA44D30}"/>
  </bookViews>
  <sheets>
    <sheet name="Sheet1" sheetId="1" r:id="rId1"/>
  </sheets>
  <definedNames>
    <definedName name="counts_ave" localSheetId="0">IF(Sheet1!$E$28 = " "," ",IF(Sheet1!$E$29 = " ",Sheet1!$E$28,IF(Sheet1!$E$30=" ",AVERAGE(Sheet1!$E$28:$E$29),IF(Sheet1!$E$31=" ",AVERAGE(Sheet1!$E$28:$E$30),IF(Sheet1!$E$32=" ",AVERAGE(Sheet1!$E$28:$E$31),AVERAGE(Sheet1!$E$28:$E$32))))))</definedName>
    <definedName name="counts_std" localSheetId="0">Sheet1!$D1</definedName>
    <definedName name="Gamma" localSheetId="0">Sheet1!$O$7</definedName>
    <definedName name="K_1" localSheetId="0">Sheet1!$J$8</definedName>
    <definedName name="P_b" localSheetId="0">Sheet1!$F$6</definedName>
    <definedName name="P_Count" localSheetId="0">Sheet1!$F1048566</definedName>
    <definedName name="P_m" localSheetId="0">Sheet1!$C1048566</definedName>
    <definedName name="P_w" localSheetId="0">Sheet1!$J1048566</definedName>
    <definedName name="runtime" localSheetId="0">Sheet1!$B1048566</definedName>
    <definedName name="t_m" localSheetId="0">AVERAGE(Sheet1!$G1048566:$H1048566)</definedName>
    <definedName name="t_w" localSheetId="0">AVERAGE(Sheet1!$N1048566:$O1048566)</definedName>
    <definedName name="V_w" localSheetId="0">Sheet1!$M1048566</definedName>
    <definedName name="Vm_std" localSheetId="0">Sheet1!$F1</definedName>
    <definedName name="Vw_std" localSheetId="0">Sheet1!$B1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33" i="1" l="1"/>
  <c r="M21" i="1"/>
  <c r="F21" i="1"/>
  <c r="M20" i="1"/>
  <c r="K32" i="1" s="1"/>
  <c r="F20" i="1"/>
  <c r="M19" i="1"/>
  <c r="F19" i="1"/>
  <c r="M18" i="1"/>
  <c r="F18" i="1"/>
  <c r="F10" i="1"/>
  <c r="X10" i="1" s="1"/>
  <c r="X9" i="1"/>
  <c r="X8" i="1"/>
  <c r="J8" i="1"/>
  <c r="D32" i="1" s="1"/>
  <c r="X7" i="1"/>
  <c r="X6" i="1"/>
  <c r="B33" i="1" l="1"/>
  <c r="C33" i="1" s="1"/>
  <c r="D33" i="1"/>
  <c r="F33" i="1"/>
  <c r="G33" i="1" s="1"/>
  <c r="D29" i="1"/>
  <c r="F29" i="1" s="1"/>
  <c r="K29" i="1"/>
  <c r="K30" i="1"/>
  <c r="K28" i="1"/>
  <c r="K34" i="1" s="1"/>
  <c r="L29" i="1" s="1"/>
  <c r="D31" i="1"/>
  <c r="F31" i="1" s="1"/>
  <c r="D28" i="1"/>
  <c r="F28" i="1" s="1"/>
  <c r="B31" i="1"/>
  <c r="C31" i="1" s="1"/>
  <c r="B32" i="1"/>
  <c r="C32" i="1" s="1"/>
  <c r="B28" i="1"/>
  <c r="C28" i="1" s="1"/>
  <c r="B30" i="1"/>
  <c r="C30" i="1" s="1"/>
  <c r="F32" i="1"/>
  <c r="B29" i="1"/>
  <c r="C29" i="1" s="1"/>
  <c r="D30" i="1"/>
  <c r="K31" i="1"/>
  <c r="E33" i="1" l="1"/>
  <c r="H33" i="1"/>
  <c r="L33" i="1"/>
  <c r="E32" i="1"/>
  <c r="L31" i="1"/>
  <c r="L28" i="1"/>
  <c r="L32" i="1"/>
  <c r="E31" i="1"/>
  <c r="L30" i="1"/>
  <c r="E28" i="1"/>
  <c r="E34" i="1" s="1"/>
  <c r="O34" i="1" s="1"/>
  <c r="H32" i="1"/>
  <c r="G32" i="1"/>
  <c r="E29" i="1"/>
  <c r="H28" i="1"/>
  <c r="G28" i="1"/>
  <c r="H29" i="1"/>
  <c r="G29" i="1"/>
  <c r="F30" i="1"/>
  <c r="E30" i="1"/>
  <c r="H31" i="1"/>
  <c r="G31" i="1"/>
  <c r="H34" i="1" l="1"/>
  <c r="Q14" i="1" s="1"/>
  <c r="H30" i="1"/>
  <c r="G30" i="1"/>
  <c r="I28" i="1" l="1"/>
  <c r="I33" i="1"/>
  <c r="I30" i="1"/>
  <c r="I31" i="1"/>
  <c r="I32" i="1"/>
  <c r="I29" i="1"/>
  <c r="Q18" i="1"/>
  <c r="Q15" i="1"/>
  <c r="Q17" i="1"/>
  <c r="R18" i="1"/>
  <c r="R16" i="1"/>
  <c r="R14" i="1"/>
  <c r="Q16" i="1"/>
  <c r="R17" i="1"/>
  <c r="R15" i="1"/>
</calcChain>
</file>

<file path=xl/sharedStrings.xml><?xml version="1.0" encoding="utf-8"?>
<sst xmlns="http://schemas.openxmlformats.org/spreadsheetml/2006/main" count="143" uniqueCount="121">
  <si>
    <t xml:space="preserve"> </t>
  </si>
  <si>
    <t>Certificate of Calibration</t>
  </si>
  <si>
    <t>Method 5 Pre-Test Console Pulse Calibration - Liters (L)</t>
  </si>
  <si>
    <t>UUT Meter Console Information</t>
  </si>
  <si>
    <t>Calibration Conditions</t>
  </si>
  <si>
    <t>Factors/Conversions</t>
  </si>
  <si>
    <t xml:space="preserve">Reference Equipment </t>
  </si>
  <si>
    <t>Model #:</t>
  </si>
  <si>
    <t>Bar. Pressure (in Hg):</t>
  </si>
  <si>
    <r>
      <t>Std. Temp. (</t>
    </r>
    <r>
      <rPr>
        <sz val="11"/>
        <rFont val="Times New Roman"/>
        <family val="1"/>
      </rPr>
      <t>K</t>
    </r>
    <r>
      <rPr>
        <sz val="11"/>
        <rFont val="Arial"/>
        <family val="2"/>
      </rPr>
      <t>):</t>
    </r>
  </si>
  <si>
    <t>Bar. Pressure (mm Hg):</t>
  </si>
  <si>
    <t>Serial #:</t>
  </si>
  <si>
    <t>Ambient Temp (ºF):</t>
  </si>
  <si>
    <t>Std. Press. (mm Hg):</t>
  </si>
  <si>
    <t>Gamma:</t>
  </si>
  <si>
    <t>Ambient Temperature (ºC):</t>
  </si>
  <si>
    <t>DGM Model #:</t>
  </si>
  <si>
    <t>Relative Humidity (%):</t>
  </si>
  <si>
    <r>
      <t>K</t>
    </r>
    <r>
      <rPr>
        <vertAlign val="subscript"/>
        <sz val="11"/>
        <rFont val="Arial"/>
        <family val="2"/>
      </rPr>
      <t>1</t>
    </r>
    <r>
      <rPr>
        <sz val="11"/>
        <rFont val="Arial"/>
        <family val="2"/>
      </rPr>
      <t xml:space="preserve"> (</t>
    </r>
    <r>
      <rPr>
        <sz val="11"/>
        <rFont val="Times New Roman"/>
        <family val="1"/>
      </rPr>
      <t>K</t>
    </r>
    <r>
      <rPr>
        <sz val="11"/>
        <rFont val="Arial"/>
        <family val="2"/>
      </rPr>
      <t>/mm Hg):</t>
    </r>
  </si>
  <si>
    <t>DGM Serial #:</t>
  </si>
  <si>
    <t>Altitude (ft):</t>
  </si>
  <si>
    <t>Altitude (m):</t>
  </si>
  <si>
    <r>
      <t>Initial Y</t>
    </r>
    <r>
      <rPr>
        <vertAlign val="subscript"/>
        <sz val="11"/>
        <rFont val="Arial"/>
        <family val="2"/>
      </rPr>
      <t>sc</t>
    </r>
    <r>
      <rPr>
        <sz val="11"/>
        <rFont val="Arial"/>
        <family val="2"/>
      </rPr>
      <t>:</t>
    </r>
  </si>
  <si>
    <t>Corr. Bar. Pressure (in Hg):</t>
  </si>
  <si>
    <t>Bar. Pressure Corr. (mm Hg):</t>
  </si>
  <si>
    <t>UUT Meter (DGM)</t>
  </si>
  <si>
    <t>Run Time (seconds)</t>
  </si>
  <si>
    <r>
      <rPr>
        <sz val="12"/>
        <rFont val="Arial"/>
        <family val="2"/>
      </rPr>
      <t>Orifice</t>
    </r>
    <r>
      <rPr>
        <sz val="12"/>
        <rFont val="Symbol"/>
        <family val="1"/>
        <charset val="2"/>
      </rPr>
      <t>, D</t>
    </r>
    <r>
      <rPr>
        <sz val="12"/>
        <rFont val="Arial"/>
        <family val="2"/>
      </rPr>
      <t>H (mm H</t>
    </r>
    <r>
      <rPr>
        <vertAlign val="subscript"/>
        <sz val="12"/>
        <rFont val="Arial"/>
        <family val="2"/>
      </rPr>
      <t>2</t>
    </r>
    <r>
      <rPr>
        <sz val="12"/>
        <rFont val="Arial"/>
        <family val="2"/>
      </rPr>
      <t>O)</t>
    </r>
  </si>
  <si>
    <t>Pulse Count</t>
  </si>
  <si>
    <t>Meter Temperature (ºC)</t>
  </si>
  <si>
    <r>
      <t>Meter Pressure (mm H</t>
    </r>
    <r>
      <rPr>
        <vertAlign val="subscript"/>
        <sz val="10"/>
        <rFont val="Arial"/>
        <family val="2"/>
      </rPr>
      <t>2</t>
    </r>
    <r>
      <rPr>
        <sz val="10"/>
        <rFont val="Arial"/>
        <family val="2"/>
      </rPr>
      <t>O)</t>
    </r>
  </si>
  <si>
    <t>Volume (L)</t>
  </si>
  <si>
    <t>Outlet Temperature (ºC)</t>
  </si>
  <si>
    <t>Y Bounds</t>
  </si>
  <si>
    <t>Initial</t>
  </si>
  <si>
    <t>Final</t>
  </si>
  <si>
    <t>Total</t>
  </si>
  <si>
    <t>ϴ</t>
  </si>
  <si>
    <r>
      <t>P</t>
    </r>
    <r>
      <rPr>
        <vertAlign val="subscript"/>
        <sz val="12"/>
        <rFont val="Arial"/>
        <family val="2"/>
      </rPr>
      <t>m(g)</t>
    </r>
  </si>
  <si>
    <r>
      <t>C</t>
    </r>
    <r>
      <rPr>
        <vertAlign val="subscript"/>
        <sz val="12"/>
        <rFont val="Arial"/>
        <family val="2"/>
      </rPr>
      <t>init</t>
    </r>
  </si>
  <si>
    <r>
      <t>C</t>
    </r>
    <r>
      <rPr>
        <vertAlign val="subscript"/>
        <sz val="12"/>
        <rFont val="Arial"/>
        <family val="2"/>
      </rPr>
      <t>final</t>
    </r>
  </si>
  <si>
    <r>
      <t>C</t>
    </r>
    <r>
      <rPr>
        <vertAlign val="subscript"/>
        <sz val="12"/>
        <rFont val="Arial"/>
        <family val="2"/>
      </rPr>
      <t>total</t>
    </r>
  </si>
  <si>
    <r>
      <t>t</t>
    </r>
    <r>
      <rPr>
        <vertAlign val="subscript"/>
        <sz val="12"/>
        <rFont val="Arial"/>
        <family val="2"/>
      </rPr>
      <t>mi</t>
    </r>
  </si>
  <si>
    <r>
      <t>t</t>
    </r>
    <r>
      <rPr>
        <vertAlign val="subscript"/>
        <sz val="12"/>
        <rFont val="Arial"/>
        <family val="2"/>
      </rPr>
      <t>mf</t>
    </r>
  </si>
  <si>
    <r>
      <t>P</t>
    </r>
    <r>
      <rPr>
        <vertAlign val="subscript"/>
        <sz val="12"/>
        <rFont val="Arial"/>
        <family val="2"/>
      </rPr>
      <t>w</t>
    </r>
  </si>
  <si>
    <r>
      <t>V</t>
    </r>
    <r>
      <rPr>
        <vertAlign val="subscript"/>
        <sz val="12"/>
        <rFont val="Arial"/>
        <family val="2"/>
      </rPr>
      <t>wi</t>
    </r>
  </si>
  <si>
    <r>
      <t>V</t>
    </r>
    <r>
      <rPr>
        <vertAlign val="subscript"/>
        <sz val="12"/>
        <rFont val="Arial"/>
        <family val="2"/>
      </rPr>
      <t>wf</t>
    </r>
  </si>
  <si>
    <r>
      <t>V</t>
    </r>
    <r>
      <rPr>
        <vertAlign val="subscript"/>
        <sz val="12"/>
        <rFont val="Arial"/>
        <family val="2"/>
      </rPr>
      <t>w</t>
    </r>
  </si>
  <si>
    <r>
      <t>t</t>
    </r>
    <r>
      <rPr>
        <vertAlign val="subscript"/>
        <sz val="12"/>
        <rFont val="Arial"/>
        <family val="2"/>
      </rPr>
      <t>wi</t>
    </r>
  </si>
  <si>
    <r>
      <t>t</t>
    </r>
    <r>
      <rPr>
        <vertAlign val="subscript"/>
        <sz val="12"/>
        <rFont val="Arial"/>
        <family val="2"/>
      </rPr>
      <t>wf</t>
    </r>
  </si>
  <si>
    <t>Standardized Data</t>
  </si>
  <si>
    <t>Scaling Factor</t>
  </si>
  <si>
    <t>Calibration Results</t>
  </si>
  <si>
    <t>Reference Meter</t>
  </si>
  <si>
    <t>Test Meter</t>
  </si>
  <si>
    <t>Volume Conversion</t>
  </si>
  <si>
    <t>Correction Factor</t>
  </si>
  <si>
    <r>
      <t>D</t>
    </r>
    <r>
      <rPr>
        <sz val="12"/>
        <rFont val="Arial"/>
        <family val="2"/>
      </rPr>
      <t>H @ (mm H</t>
    </r>
    <r>
      <rPr>
        <vertAlign val="subscript"/>
        <sz val="12"/>
        <rFont val="Arial"/>
        <family val="2"/>
      </rPr>
      <t>2</t>
    </r>
    <r>
      <rPr>
        <sz val="12"/>
        <rFont val="Arial"/>
        <family val="2"/>
      </rPr>
      <t>O)</t>
    </r>
  </si>
  <si>
    <r>
      <t xml:space="preserve">Note: For Calibration Factor Y, the ratio of the reading of the calibration meter to the dry gas meter, acceptable tolerance of individual values from the average is </t>
    </r>
    <r>
      <rPr>
        <sz val="8"/>
        <rFont val="Times New Roman"/>
        <family val="1"/>
      </rPr>
      <t>±</t>
    </r>
    <r>
      <rPr>
        <sz val="8"/>
        <rFont val="Arial"/>
        <family val="2"/>
      </rPr>
      <t>0.02.</t>
    </r>
  </si>
  <si>
    <t>Std. Volume</t>
  </si>
  <si>
    <t>Std. Flow Rate</t>
  </si>
  <si>
    <t>Totalizer</t>
  </si>
  <si>
    <t>Scaling Fac.</t>
  </si>
  <si>
    <t>Std. Vol.</t>
  </si>
  <si>
    <t>Flow Rate</t>
  </si>
  <si>
    <t>Value</t>
  </si>
  <si>
    <t>Variation</t>
  </si>
  <si>
    <t>0.0212 SCMM</t>
  </si>
  <si>
    <t>Variance</t>
  </si>
  <si>
    <r>
      <t>Vw</t>
    </r>
    <r>
      <rPr>
        <vertAlign val="subscript"/>
        <sz val="12"/>
        <rFont val="Arial"/>
        <family val="2"/>
      </rPr>
      <t xml:space="preserve">std </t>
    </r>
    <r>
      <rPr>
        <sz val="12"/>
        <rFont val="Arial"/>
        <family val="2"/>
      </rPr>
      <t>(L)</t>
    </r>
  </si>
  <si>
    <r>
      <t>Qw</t>
    </r>
    <r>
      <rPr>
        <vertAlign val="subscript"/>
        <sz val="12"/>
        <rFont val="Arial"/>
        <family val="2"/>
      </rPr>
      <t xml:space="preserve">std </t>
    </r>
    <r>
      <rPr>
        <sz val="12"/>
        <rFont val="Arial"/>
        <family val="2"/>
      </rPr>
      <t>(L/min)</t>
    </r>
  </si>
  <si>
    <r>
      <t>Counts</t>
    </r>
    <r>
      <rPr>
        <vertAlign val="subscript"/>
        <sz val="12"/>
        <rFont val="Arial"/>
        <family val="2"/>
      </rPr>
      <t>(std)</t>
    </r>
  </si>
  <si>
    <r>
      <t>Y</t>
    </r>
    <r>
      <rPr>
        <vertAlign val="subscript"/>
        <sz val="12"/>
        <rFont val="Arial"/>
        <family val="2"/>
      </rPr>
      <t>sf</t>
    </r>
  </si>
  <si>
    <r>
      <t>Vm</t>
    </r>
    <r>
      <rPr>
        <vertAlign val="subscript"/>
        <sz val="12"/>
        <rFont val="Arial"/>
        <family val="2"/>
      </rPr>
      <t xml:space="preserve">std </t>
    </r>
    <r>
      <rPr>
        <sz val="12"/>
        <rFont val="Arial"/>
        <family val="2"/>
      </rPr>
      <t>(L)</t>
    </r>
  </si>
  <si>
    <r>
      <t>Qm</t>
    </r>
    <r>
      <rPr>
        <vertAlign val="subscript"/>
        <sz val="12"/>
        <rFont val="Arial"/>
        <family val="2"/>
      </rPr>
      <t xml:space="preserve">std </t>
    </r>
    <r>
      <rPr>
        <sz val="12"/>
        <rFont val="Arial"/>
        <family val="2"/>
      </rPr>
      <t>(L/min)</t>
    </r>
  </si>
  <si>
    <t>Y</t>
  </si>
  <si>
    <t>ΔY</t>
  </si>
  <si>
    <t>ΔH@</t>
  </si>
  <si>
    <t>ΔΔH@</t>
  </si>
  <si>
    <r>
      <t xml:space="preserve">Note: For </t>
    </r>
    <r>
      <rPr>
        <sz val="8"/>
        <rFont val="Symbol"/>
        <family val="1"/>
        <charset val="2"/>
      </rPr>
      <t>D</t>
    </r>
    <r>
      <rPr>
        <sz val="8"/>
        <rFont val="Arial"/>
        <family val="2"/>
      </rPr>
      <t>H</t>
    </r>
    <r>
      <rPr>
        <vertAlign val="subscript"/>
        <sz val="8"/>
        <rFont val="Arial"/>
        <family val="2"/>
      </rPr>
      <t>@</t>
    </r>
    <r>
      <rPr>
        <sz val="8"/>
        <rFont val="Arial"/>
        <family val="2"/>
      </rPr>
      <t>, orifice pressure differential that equates to 0.0212m</t>
    </r>
    <r>
      <rPr>
        <vertAlign val="superscript"/>
        <sz val="8"/>
        <rFont val="Arial"/>
        <family val="2"/>
      </rPr>
      <t>3</t>
    </r>
    <r>
      <rPr>
        <sz val="8"/>
        <rFont val="Arial"/>
        <family val="2"/>
      </rPr>
      <t xml:space="preserve">/min at standard temperature and pressure, acceptable tolerance of individual values from the average is </t>
    </r>
    <r>
      <rPr>
        <sz val="8"/>
        <rFont val="Times New Roman"/>
        <family val="1"/>
      </rPr>
      <t>±</t>
    </r>
    <r>
      <rPr>
        <sz val="8"/>
        <rFont val="Arial"/>
        <family val="2"/>
      </rPr>
      <t>0.2inches (5.1mm) H</t>
    </r>
    <r>
      <rPr>
        <vertAlign val="subscript"/>
        <sz val="8"/>
        <rFont val="Arial"/>
        <family val="2"/>
      </rPr>
      <t>2</t>
    </r>
    <r>
      <rPr>
        <sz val="8"/>
        <rFont val="Arial"/>
        <family val="2"/>
      </rPr>
      <t>0.</t>
    </r>
  </si>
  <si>
    <t>Pass/Fail Result:</t>
  </si>
  <si>
    <t>= Avg.</t>
  </si>
  <si>
    <t>= Y Avg.</t>
  </si>
  <si>
    <t>= ΔH@ Avg.</t>
  </si>
  <si>
    <t>Console Input Value (cc/pulse):</t>
  </si>
  <si>
    <t>Metric</t>
  </si>
  <si>
    <t>Technician:</t>
  </si>
  <si>
    <t>Signature:</t>
  </si>
  <si>
    <t>Date:</t>
  </si>
  <si>
    <t>The instruments listed and described on this certificate have been calibrated against standards traceable to the National Institute of Standards and Technology (N.I.S.T.) and in reference to EPA Method 5, Section 10.3.1.</t>
  </si>
  <si>
    <t>Apex Instruments - Address: 204 Technology Park Ln., Fuquay-Varina, NC 27526 USA | Tel: (919) 557-7300 Web: www.apexinst.com</t>
  </si>
  <si>
    <t>Certificate of Calibration - Supplemental</t>
  </si>
  <si>
    <t>Nomenclature</t>
  </si>
  <si>
    <t>Equations</t>
  </si>
  <si>
    <t>Calibration Train</t>
  </si>
  <si>
    <r>
      <t>P</t>
    </r>
    <r>
      <rPr>
        <vertAlign val="subscript"/>
        <sz val="10"/>
        <rFont val="Arial"/>
        <family val="2"/>
      </rPr>
      <t>b</t>
    </r>
    <r>
      <rPr>
        <sz val="10"/>
        <rFont val="Arial"/>
        <family val="2"/>
      </rPr>
      <t xml:space="preserve"> - Barometric Pressure</t>
    </r>
  </si>
  <si>
    <t>DGM - Dry Gas Meter</t>
  </si>
  <si>
    <r>
      <t>K</t>
    </r>
    <r>
      <rPr>
        <vertAlign val="subscript"/>
        <sz val="10"/>
        <rFont val="Arial"/>
        <family val="2"/>
      </rPr>
      <t>1</t>
    </r>
    <r>
      <rPr>
        <sz val="10"/>
        <rFont val="Arial"/>
        <family val="2"/>
      </rPr>
      <t xml:space="preserve"> - Constant based on standard temp and press</t>
    </r>
  </si>
  <si>
    <r>
      <rPr>
        <sz val="10"/>
        <rFont val="Times New Roman"/>
        <family val="1"/>
      </rPr>
      <t>Ɵ</t>
    </r>
    <r>
      <rPr>
        <sz val="10"/>
        <rFont val="Arial"/>
        <family val="2"/>
      </rPr>
      <t xml:space="preserve"> - Run time, in minutes</t>
    </r>
  </si>
  <si>
    <r>
      <t>P</t>
    </r>
    <r>
      <rPr>
        <vertAlign val="subscript"/>
        <sz val="10"/>
        <rFont val="Arial"/>
        <family val="2"/>
      </rPr>
      <t>m</t>
    </r>
    <r>
      <rPr>
        <sz val="10"/>
        <rFont val="Arial"/>
        <family val="2"/>
      </rPr>
      <t xml:space="preserve"> - </t>
    </r>
    <r>
      <rPr>
        <sz val="10"/>
        <rFont val="Times New Roman"/>
        <family val="1"/>
      </rPr>
      <t>Δ</t>
    </r>
    <r>
      <rPr>
        <sz val="10"/>
        <rFont val="Arial"/>
        <family val="2"/>
      </rPr>
      <t>H (Meter Pressure, gauge)</t>
    </r>
  </si>
  <si>
    <r>
      <t>V</t>
    </r>
    <r>
      <rPr>
        <vertAlign val="subscript"/>
        <sz val="10"/>
        <rFont val="Arial"/>
        <family val="2"/>
      </rPr>
      <t>m</t>
    </r>
    <r>
      <rPr>
        <sz val="10"/>
        <rFont val="Arial"/>
        <family val="2"/>
      </rPr>
      <t xml:space="preserve"> - Volume collected by test meter, corrected for STP</t>
    </r>
  </si>
  <si>
    <r>
      <t>Q</t>
    </r>
    <r>
      <rPr>
        <vertAlign val="subscript"/>
        <sz val="10"/>
        <rFont val="Arial"/>
        <family val="2"/>
      </rPr>
      <t>m(std)</t>
    </r>
    <r>
      <rPr>
        <sz val="10"/>
        <rFont val="Arial"/>
        <family val="2"/>
      </rPr>
      <t xml:space="preserve"> - Calculated flow rate of test meter</t>
    </r>
  </si>
  <si>
    <t>K' - Critical orifice coefficient</t>
  </si>
  <si>
    <r>
      <t>P</t>
    </r>
    <r>
      <rPr>
        <vertAlign val="subscript"/>
        <sz val="10"/>
        <rFont val="Arial"/>
        <family val="2"/>
      </rPr>
      <t>w</t>
    </r>
    <r>
      <rPr>
        <sz val="10"/>
        <rFont val="Arial"/>
        <family val="2"/>
      </rPr>
      <t xml:space="preserve"> - Measured pressure of reference meter</t>
    </r>
  </si>
  <si>
    <r>
      <t>t</t>
    </r>
    <r>
      <rPr>
        <vertAlign val="subscript"/>
        <sz val="10"/>
        <rFont val="Arial"/>
        <family val="2"/>
      </rPr>
      <t>w</t>
    </r>
    <r>
      <rPr>
        <sz val="10"/>
        <rFont val="Arial"/>
        <family val="2"/>
      </rPr>
      <t xml:space="preserve"> - Temperature measured in reference meter</t>
    </r>
  </si>
  <si>
    <r>
      <t>t</t>
    </r>
    <r>
      <rPr>
        <vertAlign val="subscript"/>
        <sz val="10"/>
        <rFont val="Arial"/>
        <family val="2"/>
      </rPr>
      <t>m</t>
    </r>
    <r>
      <rPr>
        <sz val="10"/>
        <rFont val="Arial"/>
        <family val="2"/>
      </rPr>
      <t xml:space="preserve"> - Temperature measured in test meter</t>
    </r>
  </si>
  <si>
    <t>Y - Ratio of volume collected from test meter and orifice</t>
  </si>
  <si>
    <t>sf - Scaling Factor</t>
  </si>
  <si>
    <r>
      <t>Counts</t>
    </r>
    <r>
      <rPr>
        <vertAlign val="subscript"/>
        <sz val="10"/>
        <rFont val="Arial"/>
        <family val="2"/>
      </rPr>
      <t xml:space="preserve">std </t>
    </r>
    <r>
      <rPr>
        <sz val="10"/>
        <rFont val="Arial"/>
        <family val="2"/>
      </rPr>
      <t>- Number of pulse counts, standardized</t>
    </r>
  </si>
  <si>
    <r>
      <t>C</t>
    </r>
    <r>
      <rPr>
        <vertAlign val="subscript"/>
        <sz val="10"/>
        <rFont val="Arial"/>
        <family val="2"/>
      </rPr>
      <t>total</t>
    </r>
    <r>
      <rPr>
        <sz val="10"/>
        <rFont val="Arial"/>
        <family val="2"/>
      </rPr>
      <t xml:space="preserve"> - Number of raw pulse counts of a calibration run</t>
    </r>
  </si>
  <si>
    <t>Calibration Graphs</t>
  </si>
  <si>
    <t>Secondary Reference Meter 2-Pt Verification - Liters (L)</t>
  </si>
  <si>
    <t>Reference Meter (DGM)</t>
  </si>
  <si>
    <t>Revised: 220602</t>
  </si>
  <si>
    <t>(DGM) Model:</t>
  </si>
  <si>
    <t>(DGM) Serial:</t>
  </si>
  <si>
    <t>(DGM) Cal. Due Date:</t>
  </si>
  <si>
    <t>(DGM) Thermometer:</t>
  </si>
  <si>
    <t>(DGM) Therm. Serial #:</t>
  </si>
  <si>
    <t>(DGM) Therm. Cert. Due Date:</t>
  </si>
  <si>
    <t>New Scaling Factor for XD-502: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</si>
</sst>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
    <numFmt numFmtId="165" formatCode="[$-409]d\-mmm\-yyyy;@"/>
    <numFmt numFmtId="166" formatCode="0.0000"/>
    <numFmt numFmtId="167" formatCode="[$-409]dd\-mmm\-yy;@"/>
    <numFmt numFmtId="168" formatCode="0.00_)"/>
    <numFmt numFmtId="169" formatCode="0.000"/>
    <numFmt numFmtId="170" formatCode="0.00000"/>
    <numFmt numFmtId="171" formatCode="General_)"/>
    <numFmt numFmtId="172" formatCode="[$-409]mmmm\ d\,\ yyyy;@"/>
  </numFmts>
  <fonts count="32" x14ac:knownFonts="1">
    <font>
      <sz val="11"/>
      <color theme="1"/>
      <name val="Calibri"/>
      <family val="2"/>
      <scheme val="minor"/>
    </font>
    <font>
      <u/>
      <sz val="11"/>
      <color theme="10"/>
      <name val="Calibri"/>
      <family val="2"/>
      <scheme val="minor"/>
    </font>
    <font>
      <sz val="10"/>
      <name val="Arial"/>
      <family val="2"/>
    </font>
    <font>
      <b/>
      <i/>
      <sz val="18"/>
      <name val="Arial"/>
      <family val="2"/>
    </font>
    <font>
      <b/>
      <sz val="10"/>
      <name val="Arial"/>
      <family val="2"/>
    </font>
    <font>
      <b/>
      <sz val="8"/>
      <name val="Arial"/>
      <family val="2"/>
    </font>
    <font>
      <b/>
      <sz val="11"/>
      <name val="Arial"/>
      <family val="2"/>
    </font>
    <font>
      <b/>
      <u/>
      <sz val="11"/>
      <name val="Arial"/>
      <family val="2"/>
    </font>
    <font>
      <u/>
      <sz val="10"/>
      <name val="Arial"/>
      <family val="2"/>
    </font>
    <font>
      <sz val="11"/>
      <name val="Arial"/>
      <family val="2"/>
    </font>
    <font>
      <u/>
      <sz val="11"/>
      <color theme="10"/>
      <name val="Arial"/>
      <family val="2"/>
    </font>
    <font>
      <sz val="11"/>
      <name val="Times New Roman"/>
      <family val="1"/>
    </font>
    <font>
      <sz val="12"/>
      <name val="Arial"/>
      <family val="2"/>
    </font>
    <font>
      <sz val="11"/>
      <color theme="1"/>
      <name val="Arial"/>
      <family val="2"/>
    </font>
    <font>
      <vertAlign val="subscript"/>
      <sz val="11"/>
      <name val="Arial"/>
      <family val="2"/>
    </font>
    <font>
      <b/>
      <sz val="12"/>
      <name val="Arial"/>
      <family val="2"/>
    </font>
    <font>
      <sz val="11"/>
      <name val="Cambria"/>
      <family val="1"/>
    </font>
    <font>
      <sz val="12"/>
      <color rgb="FFFF0000"/>
      <name val="Arial"/>
      <family val="2"/>
    </font>
    <font>
      <b/>
      <sz val="9"/>
      <name val="Arial"/>
      <family val="2"/>
    </font>
    <font>
      <sz val="12"/>
      <name val="Symbol"/>
      <family val="1"/>
      <charset val="2"/>
    </font>
    <font>
      <vertAlign val="subscript"/>
      <sz val="12"/>
      <name val="Arial"/>
      <family val="2"/>
    </font>
    <font>
      <vertAlign val="subscript"/>
      <sz val="10"/>
      <name val="Arial"/>
      <family val="2"/>
    </font>
    <font>
      <sz val="10"/>
      <color rgb="FFFF0000"/>
      <name val="Arial"/>
      <family val="2"/>
    </font>
    <font>
      <sz val="8"/>
      <name val="Arial"/>
      <family val="2"/>
    </font>
    <font>
      <sz val="8"/>
      <name val="Times New Roman"/>
      <family val="1"/>
    </font>
    <font>
      <sz val="8"/>
      <name val="Symbol"/>
      <family val="1"/>
      <charset val="2"/>
    </font>
    <font>
      <vertAlign val="subscript"/>
      <sz val="8"/>
      <name val="Arial"/>
      <family val="2"/>
    </font>
    <font>
      <vertAlign val="superscript"/>
      <sz val="8"/>
      <name val="Arial"/>
      <family val="2"/>
    </font>
    <font>
      <sz val="10"/>
      <color theme="9" tint="-0.249977111117893"/>
      <name val="Arial"/>
      <family val="2"/>
    </font>
    <font>
      <b/>
      <sz val="14"/>
      <name val="Arial"/>
      <family val="2"/>
    </font>
    <font>
      <sz val="10"/>
      <name val="Arial"/>
      <family val="1"/>
    </font>
    <font>
      <sz val="10"/>
      <name val="Times New Roman"/>
      <family val="1"/>
    </font>
  </fonts>
  <fills count="7">
    <fill>
      <patternFill patternType="none"/>
    </fill>
    <fill>
      <patternFill patternType="gray125"/>
    </fill>
    <fill>
      <patternFill patternType="solid">
        <fgColor rgb="FFFFFFCC"/>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6" tint="0.79998168889431442"/>
        <bgColor indexed="64"/>
      </patternFill>
    </fill>
  </fills>
  <borders count="47">
    <border>
      <left/>
      <right/>
      <top/>
      <bottom/>
      <diagonal/>
    </border>
    <border>
      <left/>
      <right/>
      <top/>
      <bottom style="thin">
        <color indexed="64"/>
      </bottom>
      <diagonal/>
    </border>
    <border>
      <left style="thin">
        <color indexed="64"/>
      </left>
      <right/>
      <top/>
      <bottom/>
      <diagonal/>
    </border>
    <border>
      <left/>
      <right/>
      <top style="thin">
        <color indexed="64"/>
      </top>
      <bottom style="thin">
        <color indexed="64"/>
      </bottom>
      <diagonal/>
    </border>
    <border>
      <left/>
      <right/>
      <top style="thin">
        <color indexed="64"/>
      </top>
      <bottom/>
      <diagonal/>
    </border>
    <border>
      <left/>
      <right/>
      <top/>
      <bottom style="medium">
        <color indexed="64"/>
      </bottom>
      <diagonal/>
    </border>
    <border>
      <left style="thin">
        <color indexed="64"/>
      </left>
      <right style="thin">
        <color indexed="64"/>
      </right>
      <top/>
      <bottom/>
      <diagonal/>
    </border>
    <border>
      <left style="thin">
        <color indexed="64"/>
      </left>
      <right style="double">
        <color indexed="64"/>
      </right>
      <top/>
      <bottom style="thin">
        <color indexed="64"/>
      </bottom>
      <diagonal/>
    </border>
    <border>
      <left/>
      <right style="double">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double">
        <color indexed="64"/>
      </left>
      <right/>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double">
        <color indexed="64"/>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double">
        <color indexed="64"/>
      </right>
      <top style="medium">
        <color indexed="64"/>
      </top>
      <bottom style="thin">
        <color indexed="64"/>
      </bottom>
      <diagonal/>
    </border>
    <border>
      <left style="double">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double">
        <color indexed="64"/>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bottom/>
      <diagonal/>
    </border>
    <border>
      <left/>
      <right style="medium">
        <color indexed="64"/>
      </right>
      <top style="thin">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double">
        <color indexed="64"/>
      </right>
      <top style="medium">
        <color indexed="64"/>
      </top>
      <bottom/>
      <diagonal/>
    </border>
    <border>
      <left/>
      <right style="medium">
        <color indexed="64"/>
      </right>
      <top style="medium">
        <color indexed="64"/>
      </top>
      <bottom/>
      <diagonal/>
    </border>
    <border>
      <left/>
      <right style="double">
        <color indexed="64"/>
      </right>
      <top/>
      <bottom/>
      <diagonal/>
    </border>
    <border>
      <left style="medium">
        <color indexed="64"/>
      </left>
      <right/>
      <top/>
      <bottom style="medium">
        <color indexed="64"/>
      </bottom>
      <diagonal/>
    </border>
    <border>
      <left/>
      <right style="double">
        <color indexed="64"/>
      </right>
      <top/>
      <bottom style="medium">
        <color indexed="64"/>
      </bottom>
      <diagonal/>
    </border>
    <border>
      <left/>
      <right style="medium">
        <color indexed="64"/>
      </right>
      <top/>
      <bottom style="medium">
        <color indexed="64"/>
      </bottom>
      <diagonal/>
    </border>
  </borders>
  <cellStyleXfs count="5">
    <xf numFmtId="0" fontId="0" fillId="0" borderId="0"/>
    <xf numFmtId="0" fontId="1" fillId="0" borderId="0" applyNumberFormat="0" applyFill="0" applyBorder="0" applyAlignment="0" applyProtection="0"/>
    <xf numFmtId="0" fontId="2" fillId="0" borderId="0"/>
    <xf numFmtId="0" fontId="2" fillId="0" borderId="0"/>
    <xf numFmtId="0" fontId="2" fillId="0" borderId="0"/>
  </cellStyleXfs>
  <cellXfs count="223">
    <xf numFmtId="0" fontId="0" fillId="0" borderId="0" xfId="0"/>
    <xf numFmtId="0" fontId="2" fillId="0" borderId="0" xfId="2"/>
    <xf numFmtId="0" fontId="3" fillId="0" borderId="0" xfId="2" applyFont="1" applyAlignment="1">
      <alignment horizontal="center"/>
    </xf>
    <xf numFmtId="0" fontId="4" fillId="0" borderId="0" xfId="3" applyFont="1"/>
    <xf numFmtId="0" fontId="5" fillId="0" borderId="0" xfId="3" applyFont="1" applyAlignment="1">
      <alignment vertical="top"/>
    </xf>
    <xf numFmtId="0" fontId="2" fillId="0" borderId="0" xfId="2" applyAlignment="1">
      <alignment horizontal="right"/>
    </xf>
    <xf numFmtId="0" fontId="7" fillId="0" borderId="0" xfId="2" applyFont="1"/>
    <xf numFmtId="0" fontId="8" fillId="0" borderId="0" xfId="2" applyFont="1"/>
    <xf numFmtId="0" fontId="7" fillId="0" borderId="0" xfId="2" applyFont="1" applyAlignment="1">
      <alignment horizontal="right"/>
    </xf>
    <xf numFmtId="0" fontId="9" fillId="0" borderId="0" xfId="3" applyFont="1" applyAlignment="1">
      <alignment horizontal="right" vertical="center"/>
    </xf>
    <xf numFmtId="49" fontId="9" fillId="2" borderId="1" xfId="3" applyNumberFormat="1" applyFont="1" applyFill="1" applyBorder="1" applyAlignment="1" applyProtection="1">
      <alignment horizontal="center" vertical="center"/>
      <protection locked="0"/>
    </xf>
    <xf numFmtId="0" fontId="9" fillId="0" borderId="0" xfId="2" applyFont="1" applyAlignment="1">
      <alignment vertical="center"/>
    </xf>
    <xf numFmtId="0" fontId="10" fillId="0" borderId="2" xfId="1" applyFont="1" applyFill="1" applyBorder="1" applyAlignment="1" applyProtection="1">
      <alignment horizontal="right"/>
    </xf>
    <xf numFmtId="2" fontId="9" fillId="2" borderId="1" xfId="3" applyNumberFormat="1" applyFont="1" applyFill="1" applyBorder="1" applyAlignment="1" applyProtection="1">
      <alignment horizontal="center"/>
      <protection locked="0"/>
    </xf>
    <xf numFmtId="2" fontId="9" fillId="0" borderId="1" xfId="3" applyNumberFormat="1" applyFont="1" applyBorder="1" applyAlignment="1" applyProtection="1">
      <alignment vertical="center"/>
      <protection locked="0"/>
    </xf>
    <xf numFmtId="2" fontId="9" fillId="0" borderId="1" xfId="3" applyNumberFormat="1" applyFont="1" applyBorder="1" applyAlignment="1" applyProtection="1">
      <alignment horizontal="center" vertical="center"/>
      <protection locked="0"/>
    </xf>
    <xf numFmtId="0" fontId="9" fillId="0" borderId="0" xfId="2" applyFont="1" applyAlignment="1">
      <alignment horizontal="right" vertical="center"/>
    </xf>
    <xf numFmtId="0" fontId="9" fillId="0" borderId="1" xfId="2" applyFont="1" applyBorder="1" applyAlignment="1">
      <alignment horizontal="center" vertical="center"/>
    </xf>
    <xf numFmtId="0" fontId="12" fillId="0" borderId="0" xfId="2" applyFont="1"/>
    <xf numFmtId="0" fontId="10" fillId="0" borderId="0" xfId="1" applyFont="1" applyFill="1" applyBorder="1" applyAlignment="1" applyProtection="1">
      <alignment horizontal="right" vertical="center"/>
    </xf>
    <xf numFmtId="164" fontId="9" fillId="0" borderId="1" xfId="3" applyNumberFormat="1" applyFont="1" applyBorder="1" applyAlignment="1" applyProtection="1">
      <alignment horizontal="center" vertical="center"/>
      <protection locked="0"/>
    </xf>
    <xf numFmtId="2" fontId="13" fillId="0" borderId="0" xfId="3" applyNumberFormat="1" applyFont="1" applyAlignment="1">
      <alignment horizontal="right"/>
    </xf>
    <xf numFmtId="164" fontId="9" fillId="2" borderId="1" xfId="2" applyNumberFormat="1" applyFont="1" applyFill="1" applyBorder="1" applyAlignment="1">
      <alignment horizontal="center"/>
    </xf>
    <xf numFmtId="0" fontId="9" fillId="0" borderId="3" xfId="2" applyFont="1" applyBorder="1" applyAlignment="1">
      <alignment vertical="center"/>
    </xf>
    <xf numFmtId="0" fontId="9" fillId="0" borderId="3" xfId="2" applyFont="1" applyBorder="1" applyAlignment="1">
      <alignment horizontal="center" vertical="center"/>
    </xf>
    <xf numFmtId="165" fontId="9" fillId="2" borderId="1" xfId="2" quotePrefix="1" applyNumberFormat="1" applyFont="1" applyFill="1" applyBorder="1" applyAlignment="1">
      <alignment horizontal="center" vertical="center"/>
    </xf>
    <xf numFmtId="166" fontId="9" fillId="0" borderId="3" xfId="2" applyNumberFormat="1" applyFont="1" applyBorder="1" applyAlignment="1">
      <alignment horizontal="center" vertical="center"/>
    </xf>
    <xf numFmtId="2" fontId="13" fillId="0" borderId="0" xfId="3" applyNumberFormat="1" applyFont="1" applyAlignment="1">
      <alignment horizontal="right" vertical="center"/>
    </xf>
    <xf numFmtId="164" fontId="9" fillId="0" borderId="1" xfId="2" applyNumberFormat="1" applyFont="1" applyBorder="1" applyAlignment="1">
      <alignment horizontal="center" vertical="center"/>
    </xf>
    <xf numFmtId="0" fontId="9" fillId="0" borderId="0" xfId="2" applyFont="1" applyAlignment="1">
      <alignment horizontal="right"/>
    </xf>
    <xf numFmtId="1" fontId="9" fillId="2" borderId="1" xfId="2" applyNumberFormat="1" applyFont="1" applyFill="1" applyBorder="1" applyAlignment="1">
      <alignment horizontal="center"/>
    </xf>
    <xf numFmtId="166" fontId="9" fillId="0" borderId="3" xfId="2" applyNumberFormat="1" applyFont="1" applyBorder="1" applyAlignment="1">
      <alignment vertical="center"/>
    </xf>
    <xf numFmtId="0" fontId="15" fillId="0" borderId="0" xfId="2" applyFont="1" applyAlignment="1">
      <alignment horizontal="center" vertical="center"/>
    </xf>
    <xf numFmtId="1" fontId="9" fillId="0" borderId="1" xfId="2" applyNumberFormat="1" applyFont="1" applyBorder="1" applyAlignment="1">
      <alignment horizontal="center" vertical="center"/>
    </xf>
    <xf numFmtId="164" fontId="9" fillId="0" borderId="3" xfId="3" applyNumberFormat="1" applyFont="1" applyBorder="1" applyAlignment="1">
      <alignment horizontal="center"/>
    </xf>
    <xf numFmtId="0" fontId="12" fillId="0" borderId="0" xfId="2" applyFont="1" applyAlignment="1">
      <alignment horizontal="center" vertical="center"/>
    </xf>
    <xf numFmtId="2" fontId="9" fillId="0" borderId="3" xfId="3" applyNumberFormat="1" applyFont="1" applyBorder="1" applyAlignment="1">
      <alignment horizontal="center" vertical="center"/>
    </xf>
    <xf numFmtId="0" fontId="9" fillId="0" borderId="0" xfId="2" applyFont="1" applyAlignment="1">
      <alignment horizontal="right" vertical="center" wrapText="1"/>
    </xf>
    <xf numFmtId="166" fontId="9" fillId="2" borderId="1" xfId="3" applyNumberFormat="1" applyFont="1" applyFill="1" applyBorder="1" applyAlignment="1">
      <alignment horizontal="center" vertical="center"/>
    </xf>
    <xf numFmtId="49" fontId="2" fillId="0" borderId="0" xfId="3" applyNumberFormat="1" applyAlignment="1" applyProtection="1">
      <alignment horizontal="center" vertical="center"/>
      <protection locked="0"/>
    </xf>
    <xf numFmtId="2" fontId="9" fillId="3" borderId="3" xfId="2" applyNumberFormat="1" applyFont="1" applyFill="1" applyBorder="1" applyAlignment="1">
      <alignment horizontal="center"/>
    </xf>
    <xf numFmtId="167" fontId="9" fillId="0" borderId="4" xfId="3" applyNumberFormat="1" applyFont="1" applyBorder="1" applyAlignment="1">
      <alignment horizontal="center" vertical="center"/>
    </xf>
    <xf numFmtId="0" fontId="16" fillId="0" borderId="0" xfId="2" applyFont="1" applyAlignment="1">
      <alignment vertical="center"/>
    </xf>
    <xf numFmtId="2" fontId="17" fillId="0" borderId="0" xfId="3" quotePrefix="1" applyNumberFormat="1" applyFont="1" applyAlignment="1">
      <alignment horizontal="left"/>
    </xf>
    <xf numFmtId="49" fontId="12" fillId="0" borderId="0" xfId="3" applyNumberFormat="1" applyFont="1" applyAlignment="1" applyProtection="1">
      <alignment horizontal="center"/>
      <protection locked="0"/>
    </xf>
    <xf numFmtId="164" fontId="9" fillId="0" borderId="3" xfId="3" applyNumberFormat="1" applyFont="1" applyBorder="1" applyAlignment="1">
      <alignment horizontal="center" vertical="center"/>
    </xf>
    <xf numFmtId="0" fontId="12" fillId="0" borderId="0" xfId="2" applyFont="1" applyAlignment="1">
      <alignment wrapText="1"/>
    </xf>
    <xf numFmtId="0" fontId="12" fillId="0" borderId="0" xfId="2" applyFont="1" applyAlignment="1">
      <alignment horizontal="right"/>
    </xf>
    <xf numFmtId="2" fontId="12" fillId="0" borderId="0" xfId="2" applyNumberFormat="1" applyFont="1" applyAlignment="1">
      <alignment horizontal="center"/>
    </xf>
    <xf numFmtId="1" fontId="12" fillId="0" borderId="0" xfId="2" applyNumberFormat="1" applyFont="1" applyAlignment="1">
      <alignment horizontal="center"/>
    </xf>
    <xf numFmtId="49" fontId="17" fillId="0" borderId="0" xfId="3" applyNumberFormat="1" applyFont="1" applyAlignment="1">
      <alignment vertical="top" wrapText="1"/>
    </xf>
    <xf numFmtId="0" fontId="2" fillId="0" borderId="5" xfId="2" applyBorder="1"/>
    <xf numFmtId="49" fontId="18" fillId="0" borderId="0" xfId="3" applyNumberFormat="1" applyFont="1" applyAlignment="1">
      <alignment vertical="top" wrapText="1"/>
    </xf>
    <xf numFmtId="0" fontId="12" fillId="0" borderId="0" xfId="2" applyFont="1" applyAlignment="1">
      <alignment vertical="center"/>
    </xf>
    <xf numFmtId="168" fontId="12" fillId="4" borderId="13" xfId="2" applyNumberFormat="1" applyFont="1" applyFill="1" applyBorder="1" applyAlignment="1">
      <alignment horizontal="center" vertical="center"/>
    </xf>
    <xf numFmtId="168" fontId="12" fillId="4" borderId="14" xfId="2" applyNumberFormat="1" applyFont="1" applyFill="1" applyBorder="1" applyAlignment="1">
      <alignment horizontal="center" vertical="center"/>
    </xf>
    <xf numFmtId="168" fontId="12" fillId="4" borderId="15" xfId="2" applyNumberFormat="1" applyFont="1" applyFill="1" applyBorder="1" applyAlignment="1">
      <alignment horizontal="center" vertical="center"/>
    </xf>
    <xf numFmtId="0" fontId="12" fillId="4" borderId="16" xfId="4" quotePrefix="1" applyFont="1" applyFill="1" applyBorder="1" applyAlignment="1">
      <alignment horizontal="center" vertical="center"/>
    </xf>
    <xf numFmtId="0" fontId="12" fillId="4" borderId="14" xfId="4" quotePrefix="1" applyFont="1" applyFill="1" applyBorder="1" applyAlignment="1">
      <alignment horizontal="center" vertical="center"/>
    </xf>
    <xf numFmtId="168" fontId="12" fillId="4" borderId="17" xfId="2" applyNumberFormat="1" applyFont="1" applyFill="1" applyBorder="1" applyAlignment="1">
      <alignment horizontal="center" vertical="center"/>
    </xf>
    <xf numFmtId="168" fontId="12" fillId="4" borderId="12" xfId="2" applyNumberFormat="1" applyFont="1" applyFill="1" applyBorder="1" applyAlignment="1">
      <alignment horizontal="center" vertical="center"/>
    </xf>
    <xf numFmtId="0" fontId="2" fillId="0" borderId="18" xfId="2" applyBorder="1"/>
    <xf numFmtId="0" fontId="2" fillId="0" borderId="19" xfId="2" applyBorder="1"/>
    <xf numFmtId="0" fontId="12" fillId="5" borderId="10" xfId="3" applyFont="1" applyFill="1" applyBorder="1" applyAlignment="1">
      <alignment horizontal="center" vertical="center"/>
    </xf>
    <xf numFmtId="168" fontId="12" fillId="5" borderId="12" xfId="2" applyNumberFormat="1" applyFont="1" applyFill="1" applyBorder="1" applyAlignment="1">
      <alignment horizontal="center" vertical="center" wrapText="1"/>
    </xf>
    <xf numFmtId="168" fontId="12" fillId="5" borderId="13" xfId="2" applyNumberFormat="1" applyFont="1" applyFill="1" applyBorder="1" applyAlignment="1">
      <alignment horizontal="center" vertical="center"/>
    </xf>
    <xf numFmtId="168" fontId="12" fillId="5" borderId="9" xfId="2" applyNumberFormat="1" applyFont="1" applyFill="1" applyBorder="1" applyAlignment="1">
      <alignment horizontal="center" vertical="center"/>
    </xf>
    <xf numFmtId="168" fontId="12" fillId="5" borderId="12" xfId="2" applyNumberFormat="1" applyFont="1" applyFill="1" applyBorder="1" applyAlignment="1">
      <alignment horizontal="center" vertical="center"/>
    </xf>
    <xf numFmtId="0" fontId="12" fillId="5" borderId="16" xfId="4" quotePrefix="1" applyFont="1" applyFill="1" applyBorder="1" applyAlignment="1">
      <alignment horizontal="center" vertical="center"/>
    </xf>
    <xf numFmtId="0" fontId="12" fillId="5" borderId="14" xfId="4" quotePrefix="1" applyFont="1" applyFill="1" applyBorder="1" applyAlignment="1">
      <alignment horizontal="center" vertical="center"/>
    </xf>
    <xf numFmtId="0" fontId="12" fillId="5" borderId="0" xfId="2" applyFont="1" applyFill="1" applyAlignment="1">
      <alignment vertical="center"/>
    </xf>
    <xf numFmtId="168" fontId="12" fillId="5" borderId="3" xfId="2" applyNumberFormat="1" applyFont="1" applyFill="1" applyBorder="1" applyAlignment="1">
      <alignment horizontal="center" vertical="center"/>
    </xf>
    <xf numFmtId="168" fontId="12" fillId="5" borderId="17" xfId="2" applyNumberFormat="1" applyFont="1" applyFill="1" applyBorder="1" applyAlignment="1">
      <alignment horizontal="center" vertical="center"/>
    </xf>
    <xf numFmtId="168" fontId="12" fillId="5" borderId="14" xfId="2" applyNumberFormat="1" applyFont="1" applyFill="1" applyBorder="1" applyAlignment="1">
      <alignment horizontal="center" vertical="center"/>
    </xf>
    <xf numFmtId="0" fontId="2" fillId="0" borderId="2" xfId="2" applyBorder="1"/>
    <xf numFmtId="0" fontId="2" fillId="0" borderId="20" xfId="2" applyBorder="1"/>
    <xf numFmtId="2" fontId="12" fillId="2" borderId="14" xfId="3" applyNumberFormat="1" applyFont="1" applyFill="1" applyBorder="1" applyAlignment="1" applyProtection="1">
      <alignment horizontal="center" vertical="center"/>
      <protection locked="0"/>
    </xf>
    <xf numFmtId="2" fontId="12" fillId="2" borderId="12" xfId="3" applyNumberFormat="1" applyFont="1" applyFill="1" applyBorder="1" applyAlignment="1" applyProtection="1">
      <alignment horizontal="center" vertical="center"/>
      <protection locked="0"/>
    </xf>
    <xf numFmtId="0" fontId="12" fillId="6" borderId="13" xfId="3" applyFont="1" applyFill="1" applyBorder="1" applyAlignment="1" applyProtection="1">
      <alignment horizontal="center" vertical="center"/>
      <protection locked="0"/>
    </xf>
    <xf numFmtId="0" fontId="12" fillId="2" borderId="13" xfId="2" applyFont="1" applyFill="1" applyBorder="1" applyAlignment="1">
      <alignment horizontal="center" vertical="center"/>
    </xf>
    <xf numFmtId="1" fontId="12" fillId="3" borderId="12" xfId="3" applyNumberFormat="1" applyFont="1" applyFill="1" applyBorder="1" applyAlignment="1">
      <alignment horizontal="center" vertical="center"/>
    </xf>
    <xf numFmtId="164" fontId="12" fillId="2" borderId="16" xfId="3" applyNumberFormat="1" applyFont="1" applyFill="1" applyBorder="1" applyAlignment="1" applyProtection="1">
      <alignment horizontal="center" vertical="center"/>
      <protection locked="0"/>
    </xf>
    <xf numFmtId="164" fontId="12" fillId="2" borderId="10" xfId="3" applyNumberFormat="1" applyFont="1" applyFill="1" applyBorder="1" applyAlignment="1" applyProtection="1">
      <alignment horizontal="center" vertical="center"/>
      <protection locked="0"/>
    </xf>
    <xf numFmtId="164" fontId="12" fillId="2" borderId="12" xfId="3" applyNumberFormat="1" applyFont="1" applyFill="1" applyBorder="1" applyAlignment="1" applyProtection="1">
      <alignment horizontal="center" vertical="center"/>
      <protection locked="0"/>
    </xf>
    <xf numFmtId="164" fontId="12" fillId="6" borderId="13" xfId="3" applyNumberFormat="1" applyFont="1" applyFill="1" applyBorder="1" applyAlignment="1" applyProtection="1">
      <alignment horizontal="center" vertical="center"/>
      <protection locked="0"/>
    </xf>
    <xf numFmtId="164" fontId="12" fillId="6" borderId="17" xfId="3" applyNumberFormat="1" applyFont="1" applyFill="1" applyBorder="1" applyAlignment="1" applyProtection="1">
      <alignment horizontal="center" vertical="center"/>
      <protection locked="0"/>
    </xf>
    <xf numFmtId="164" fontId="12" fillId="3" borderId="12" xfId="3" applyNumberFormat="1" applyFont="1" applyFill="1" applyBorder="1" applyAlignment="1">
      <alignment horizontal="center" vertical="center"/>
    </xf>
    <xf numFmtId="164" fontId="12" fillId="2" borderId="3" xfId="3" applyNumberFormat="1" applyFont="1" applyFill="1" applyBorder="1" applyAlignment="1" applyProtection="1">
      <alignment horizontal="center" vertical="center"/>
      <protection locked="0"/>
    </xf>
    <xf numFmtId="164" fontId="12" fillId="2" borderId="14" xfId="3" applyNumberFormat="1" applyFont="1" applyFill="1" applyBorder="1" applyAlignment="1" applyProtection="1">
      <alignment horizontal="center" vertical="center"/>
      <protection locked="0"/>
    </xf>
    <xf numFmtId="0" fontId="12" fillId="6" borderId="13" xfId="2" applyFont="1" applyFill="1" applyBorder="1" applyAlignment="1" applyProtection="1">
      <alignment horizontal="center" vertical="center"/>
      <protection locked="0"/>
    </xf>
    <xf numFmtId="0" fontId="12" fillId="2" borderId="17" xfId="2" applyFont="1" applyFill="1" applyBorder="1" applyAlignment="1">
      <alignment horizontal="center" vertical="center"/>
    </xf>
    <xf numFmtId="164" fontId="12" fillId="6" borderId="13" xfId="2" applyNumberFormat="1" applyFont="1" applyFill="1" applyBorder="1" applyAlignment="1" applyProtection="1">
      <alignment horizontal="center" vertical="center"/>
      <protection locked="0"/>
    </xf>
    <xf numFmtId="164" fontId="12" fillId="6" borderId="17" xfId="2" applyNumberFormat="1" applyFont="1" applyFill="1" applyBorder="1" applyAlignment="1" applyProtection="1">
      <alignment horizontal="center" vertical="center"/>
      <protection locked="0"/>
    </xf>
    <xf numFmtId="0" fontId="2" fillId="0" borderId="21" xfId="2" applyBorder="1"/>
    <xf numFmtId="0" fontId="2" fillId="0" borderId="9" xfId="2" applyBorder="1"/>
    <xf numFmtId="0" fontId="22" fillId="0" borderId="0" xfId="2" applyFont="1"/>
    <xf numFmtId="168" fontId="23" fillId="0" borderId="0" xfId="2" applyNumberFormat="1" applyFont="1" applyAlignment="1">
      <alignment vertical="top" wrapText="1"/>
    </xf>
    <xf numFmtId="0" fontId="12" fillId="4" borderId="24" xfId="2" applyFont="1" applyFill="1" applyBorder="1" applyAlignment="1">
      <alignment horizontal="center" vertical="center" wrapText="1"/>
    </xf>
    <xf numFmtId="0" fontId="12" fillId="4" borderId="14" xfId="4" quotePrefix="1" applyFont="1" applyFill="1" applyBorder="1" applyAlignment="1">
      <alignment horizontal="center" vertical="center" wrapText="1"/>
    </xf>
    <xf numFmtId="0" fontId="12" fillId="4" borderId="17" xfId="4" quotePrefix="1" applyFont="1" applyFill="1" applyBorder="1" applyAlignment="1">
      <alignment horizontal="center" vertical="center" wrapText="1"/>
    </xf>
    <xf numFmtId="0" fontId="12" fillId="4" borderId="28" xfId="2" applyFont="1" applyFill="1" applyBorder="1" applyAlignment="1">
      <alignment horizontal="center" vertical="center" wrapText="1"/>
    </xf>
    <xf numFmtId="0" fontId="12" fillId="4" borderId="14" xfId="2" applyFont="1" applyFill="1" applyBorder="1" applyAlignment="1">
      <alignment horizontal="center" vertical="center" wrapText="1"/>
    </xf>
    <xf numFmtId="168" fontId="12" fillId="4" borderId="10" xfId="2" applyNumberFormat="1" applyFont="1" applyFill="1" applyBorder="1" applyAlignment="1">
      <alignment horizontal="center" vertical="center"/>
    </xf>
    <xf numFmtId="0" fontId="9" fillId="4" borderId="17" xfId="4" applyFont="1" applyFill="1" applyBorder="1" applyAlignment="1">
      <alignment horizontal="center" vertical="center"/>
    </xf>
    <xf numFmtId="0" fontId="12" fillId="5" borderId="14" xfId="4" quotePrefix="1" applyFont="1" applyFill="1" applyBorder="1" applyAlignment="1">
      <alignment horizontal="center" wrapText="1"/>
    </xf>
    <xf numFmtId="0" fontId="12" fillId="5" borderId="17" xfId="4" quotePrefix="1" applyFont="1" applyFill="1" applyBorder="1" applyAlignment="1">
      <alignment horizontal="center" wrapText="1"/>
    </xf>
    <xf numFmtId="0" fontId="12" fillId="5" borderId="29" xfId="4" quotePrefix="1" applyFont="1" applyFill="1" applyBorder="1" applyAlignment="1">
      <alignment horizontal="center" wrapText="1"/>
    </xf>
    <xf numFmtId="0" fontId="12" fillId="5" borderId="14" xfId="2" applyFont="1" applyFill="1" applyBorder="1" applyAlignment="1">
      <alignment horizontal="center"/>
    </xf>
    <xf numFmtId="0" fontId="2" fillId="0" borderId="0" xfId="0" applyFont="1"/>
    <xf numFmtId="0" fontId="4" fillId="0" borderId="2" xfId="4" quotePrefix="1" applyFont="1" applyBorder="1" applyAlignment="1">
      <alignment horizontal="center" vertical="center" wrapText="1"/>
    </xf>
    <xf numFmtId="0" fontId="28" fillId="0" borderId="0" xfId="4" quotePrefix="1" applyFont="1" applyAlignment="1">
      <alignment horizontal="center" vertical="center" wrapText="1"/>
    </xf>
    <xf numFmtId="0" fontId="4" fillId="0" borderId="0" xfId="4" quotePrefix="1" applyFont="1" applyAlignment="1">
      <alignment vertical="center" wrapText="1"/>
    </xf>
    <xf numFmtId="0" fontId="22" fillId="0" borderId="0" xfId="4" quotePrefix="1" applyFont="1" applyAlignment="1">
      <alignment horizontal="center"/>
    </xf>
    <xf numFmtId="0" fontId="22" fillId="0" borderId="20" xfId="4" quotePrefix="1" applyFont="1" applyBorder="1" applyAlignment="1">
      <alignment horizontal="center"/>
    </xf>
    <xf numFmtId="0" fontId="2" fillId="0" borderId="2" xfId="4" quotePrefix="1" applyBorder="1" applyAlignment="1">
      <alignment horizontal="center"/>
    </xf>
    <xf numFmtId="0" fontId="2" fillId="0" borderId="20" xfId="4" quotePrefix="1" applyBorder="1" applyAlignment="1">
      <alignment horizontal="center"/>
    </xf>
    <xf numFmtId="169" fontId="12" fillId="3" borderId="14" xfId="2" applyNumberFormat="1" applyFont="1" applyFill="1" applyBorder="1" applyAlignment="1">
      <alignment horizontal="center"/>
    </xf>
    <xf numFmtId="169" fontId="12" fillId="3" borderId="30" xfId="2" applyNumberFormat="1" applyFont="1" applyFill="1" applyBorder="1" applyAlignment="1">
      <alignment horizontal="center"/>
    </xf>
    <xf numFmtId="1" fontId="12" fillId="3" borderId="29" xfId="2" applyNumberFormat="1" applyFont="1" applyFill="1" applyBorder="1" applyAlignment="1">
      <alignment horizontal="center"/>
    </xf>
    <xf numFmtId="11" fontId="12" fillId="3" borderId="14" xfId="2" applyNumberFormat="1" applyFont="1" applyFill="1" applyBorder="1" applyAlignment="1">
      <alignment horizontal="center"/>
    </xf>
    <xf numFmtId="164" fontId="12" fillId="3" borderId="14" xfId="2" applyNumberFormat="1" applyFont="1" applyFill="1" applyBorder="1" applyAlignment="1">
      <alignment horizontal="center"/>
    </xf>
    <xf numFmtId="166" fontId="12" fillId="3" borderId="14" xfId="2" applyNumberFormat="1" applyFont="1" applyFill="1" applyBorder="1" applyAlignment="1">
      <alignment horizontal="center"/>
    </xf>
    <xf numFmtId="0" fontId="15" fillId="3" borderId="32" xfId="2" applyFont="1" applyFill="1" applyBorder="1" applyAlignment="1">
      <alignment horizontal="center" vertical="center"/>
    </xf>
    <xf numFmtId="11" fontId="12" fillId="3" borderId="33" xfId="2" applyNumberFormat="1" applyFont="1" applyFill="1" applyBorder="1" applyAlignment="1">
      <alignment horizontal="center"/>
    </xf>
    <xf numFmtId="166" fontId="12" fillId="3" borderId="33" xfId="2" applyNumberFormat="1" applyFont="1" applyFill="1" applyBorder="1" applyAlignment="1">
      <alignment horizontal="center"/>
    </xf>
    <xf numFmtId="170" fontId="12" fillId="0" borderId="0" xfId="2" applyNumberFormat="1" applyFont="1"/>
    <xf numFmtId="11" fontId="12" fillId="3" borderId="32" xfId="2" applyNumberFormat="1" applyFont="1" applyFill="1" applyBorder="1" applyAlignment="1">
      <alignment horizontal="center" vertical="center"/>
    </xf>
    <xf numFmtId="170" fontId="15" fillId="0" borderId="34" xfId="2" quotePrefix="1" applyNumberFormat="1" applyFont="1" applyBorder="1"/>
    <xf numFmtId="0" fontId="2" fillId="0" borderId="35" xfId="2" applyBorder="1"/>
    <xf numFmtId="166" fontId="12" fillId="3" borderId="32" xfId="2" applyNumberFormat="1" applyFont="1" applyFill="1" applyBorder="1" applyAlignment="1">
      <alignment horizontal="center" vertical="center"/>
    </xf>
    <xf numFmtId="170" fontId="15" fillId="0" borderId="0" xfId="2" quotePrefix="1" applyNumberFormat="1" applyFont="1"/>
    <xf numFmtId="164" fontId="12" fillId="3" borderId="32" xfId="2" applyNumberFormat="1" applyFont="1" applyFill="1" applyBorder="1" applyAlignment="1">
      <alignment horizontal="center" vertical="center"/>
    </xf>
    <xf numFmtId="166" fontId="15" fillId="3" borderId="14" xfId="2" applyNumberFormat="1" applyFont="1" applyFill="1" applyBorder="1" applyAlignment="1">
      <alignment horizontal="center" vertical="center"/>
    </xf>
    <xf numFmtId="0" fontId="23" fillId="0" borderId="0" xfId="2" applyFont="1" applyAlignment="1">
      <alignment horizontal="center" vertical="top"/>
    </xf>
    <xf numFmtId="0" fontId="12" fillId="0" borderId="0" xfId="2" applyFont="1" applyAlignment="1">
      <alignment horizontal="center"/>
    </xf>
    <xf numFmtId="171" fontId="12" fillId="0" borderId="0" xfId="2" applyNumberFormat="1" applyFont="1" applyAlignment="1">
      <alignment horizontal="center"/>
    </xf>
    <xf numFmtId="0" fontId="23" fillId="0" borderId="0" xfId="2" applyFont="1" applyAlignment="1">
      <alignment vertical="center" wrapText="1"/>
    </xf>
    <xf numFmtId="0" fontId="12" fillId="0" borderId="0" xfId="2" applyFont="1" applyAlignment="1">
      <alignment horizontal="left" vertical="top" wrapText="1"/>
    </xf>
    <xf numFmtId="0" fontId="29" fillId="0" borderId="0" xfId="2" applyFont="1" applyAlignment="1">
      <alignment horizontal="center"/>
    </xf>
    <xf numFmtId="0" fontId="4" fillId="0" borderId="0" xfId="3" applyFont="1" applyAlignment="1">
      <alignment horizontal="center"/>
    </xf>
    <xf numFmtId="0" fontId="2" fillId="0" borderId="39" xfId="2" applyBorder="1" applyAlignment="1">
      <alignment vertical="center"/>
    </xf>
    <xf numFmtId="0" fontId="23" fillId="0" borderId="40" xfId="2" applyFont="1" applyBorder="1" applyAlignment="1">
      <alignment vertical="center"/>
    </xf>
    <xf numFmtId="0" fontId="23" fillId="0" borderId="41" xfId="2" applyFont="1" applyBorder="1" applyAlignment="1">
      <alignment vertical="center"/>
    </xf>
    <xf numFmtId="0" fontId="2" fillId="0" borderId="40" xfId="2" applyBorder="1"/>
    <xf numFmtId="0" fontId="2" fillId="0" borderId="41" xfId="2" applyBorder="1"/>
    <xf numFmtId="0" fontId="2" fillId="0" borderId="40" xfId="2" applyBorder="1" applyAlignment="1">
      <alignment horizontal="center"/>
    </xf>
    <xf numFmtId="0" fontId="2" fillId="0" borderId="42" xfId="2" applyBorder="1" applyAlignment="1">
      <alignment horizontal="center"/>
    </xf>
    <xf numFmtId="0" fontId="2" fillId="0" borderId="34" xfId="2" applyBorder="1" applyAlignment="1">
      <alignment vertical="center"/>
    </xf>
    <xf numFmtId="0" fontId="23" fillId="0" borderId="0" xfId="2" applyFont="1" applyAlignment="1">
      <alignment vertical="center"/>
    </xf>
    <xf numFmtId="0" fontId="23" fillId="0" borderId="43" xfId="2" applyFont="1" applyBorder="1" applyAlignment="1">
      <alignment vertical="center"/>
    </xf>
    <xf numFmtId="0" fontId="2" fillId="0" borderId="43" xfId="2" applyBorder="1"/>
    <xf numFmtId="0" fontId="2" fillId="0" borderId="0" xfId="2" applyAlignment="1">
      <alignment horizontal="center"/>
    </xf>
    <xf numFmtId="0" fontId="2" fillId="0" borderId="31" xfId="2" applyBorder="1" applyAlignment="1">
      <alignment horizontal="center"/>
    </xf>
    <xf numFmtId="0" fontId="30" fillId="0" borderId="34" xfId="2" applyFont="1" applyBorder="1" applyAlignment="1">
      <alignment vertical="center"/>
    </xf>
    <xf numFmtId="0" fontId="2" fillId="0" borderId="31" xfId="2" applyBorder="1"/>
    <xf numFmtId="0" fontId="2" fillId="0" borderId="44" xfId="2" applyBorder="1" applyAlignment="1">
      <alignment vertical="center"/>
    </xf>
    <xf numFmtId="0" fontId="2" fillId="0" borderId="45" xfId="2" applyBorder="1"/>
    <xf numFmtId="0" fontId="2" fillId="0" borderId="46" xfId="2" applyBorder="1"/>
    <xf numFmtId="0" fontId="2" fillId="0" borderId="39" xfId="2" applyBorder="1"/>
    <xf numFmtId="0" fontId="2" fillId="0" borderId="42" xfId="2" applyBorder="1"/>
    <xf numFmtId="0" fontId="2" fillId="0" borderId="34" xfId="2" applyBorder="1"/>
    <xf numFmtId="0" fontId="2" fillId="0" borderId="44" xfId="2" applyBorder="1"/>
    <xf numFmtId="0" fontId="6" fillId="0" borderId="5" xfId="2" applyFont="1" applyBorder="1" applyAlignment="1">
      <alignment horizontal="center" vertical="center"/>
    </xf>
    <xf numFmtId="0" fontId="12" fillId="0" borderId="36" xfId="2" applyFont="1" applyBorder="1" applyAlignment="1">
      <alignment horizontal="center" vertical="center"/>
    </xf>
    <xf numFmtId="0" fontId="12" fillId="0" borderId="37" xfId="2" applyFont="1" applyBorder="1" applyAlignment="1">
      <alignment horizontal="center" vertical="center"/>
    </xf>
    <xf numFmtId="0" fontId="12" fillId="0" borderId="38" xfId="2" applyFont="1" applyBorder="1" applyAlignment="1">
      <alignment horizontal="center" vertical="center"/>
    </xf>
    <xf numFmtId="0" fontId="3" fillId="0" borderId="0" xfId="2" applyFont="1" applyAlignment="1">
      <alignment horizontal="center"/>
    </xf>
    <xf numFmtId="0" fontId="4" fillId="0" borderId="0" xfId="3" applyFont="1" applyAlignment="1">
      <alignment horizontal="center"/>
    </xf>
    <xf numFmtId="0" fontId="6" fillId="0" borderId="5" xfId="2" applyFont="1" applyBorder="1" applyAlignment="1">
      <alignment horizontal="center"/>
    </xf>
    <xf numFmtId="0" fontId="23" fillId="0" borderId="0" xfId="2" applyFont="1" applyAlignment="1">
      <alignment horizontal="center" vertical="center" wrapText="1"/>
    </xf>
    <xf numFmtId="0" fontId="12" fillId="5" borderId="17" xfId="2" applyFont="1" applyFill="1" applyBorder="1" applyAlignment="1">
      <alignment horizontal="center"/>
    </xf>
    <xf numFmtId="0" fontId="12" fillId="5" borderId="13" xfId="2" applyFont="1" applyFill="1" applyBorder="1" applyAlignment="1">
      <alignment horizontal="center"/>
    </xf>
    <xf numFmtId="168" fontId="23" fillId="0" borderId="2" xfId="2" applyNumberFormat="1" applyFont="1" applyBorder="1" applyAlignment="1">
      <alignment horizontal="center" wrapText="1"/>
    </xf>
    <xf numFmtId="168" fontId="23" fillId="0" borderId="0" xfId="2" applyNumberFormat="1" applyFont="1" applyAlignment="1">
      <alignment horizontal="center" wrapText="1"/>
    </xf>
    <xf numFmtId="166" fontId="12" fillId="3" borderId="17" xfId="2" applyNumberFormat="1" applyFont="1" applyFill="1" applyBorder="1" applyAlignment="1">
      <alignment horizontal="center"/>
    </xf>
    <xf numFmtId="166" fontId="12" fillId="3" borderId="13" xfId="2" applyNumberFormat="1" applyFont="1" applyFill="1" applyBorder="1" applyAlignment="1">
      <alignment horizontal="center"/>
    </xf>
    <xf numFmtId="0" fontId="4" fillId="0" borderId="2" xfId="2" applyFont="1" applyBorder="1" applyAlignment="1">
      <alignment horizontal="center"/>
    </xf>
    <xf numFmtId="0" fontId="4" fillId="0" borderId="31" xfId="2" applyFont="1" applyBorder="1" applyAlignment="1">
      <alignment horizontal="center"/>
    </xf>
    <xf numFmtId="0" fontId="4" fillId="0" borderId="0" xfId="2" applyFont="1" applyAlignment="1">
      <alignment horizontal="center"/>
    </xf>
    <xf numFmtId="0" fontId="4" fillId="0" borderId="20" xfId="2" applyFont="1" applyBorder="1" applyAlignment="1">
      <alignment horizontal="center"/>
    </xf>
    <xf numFmtId="0" fontId="12" fillId="0" borderId="1" xfId="2" applyFont="1" applyBorder="1" applyAlignment="1">
      <alignment horizontal="center"/>
    </xf>
    <xf numFmtId="171" fontId="12" fillId="0" borderId="1" xfId="2" applyNumberFormat="1" applyFont="1" applyBorder="1" applyAlignment="1">
      <alignment horizontal="center" vertical="top"/>
    </xf>
    <xf numFmtId="172" fontId="12" fillId="0" borderId="1" xfId="2" applyNumberFormat="1"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5" fillId="0" borderId="0" xfId="2" applyFont="1" applyAlignment="1">
      <alignment horizontal="center"/>
    </xf>
    <xf numFmtId="0" fontId="15" fillId="0" borderId="5" xfId="2" applyFont="1" applyBorder="1" applyAlignment="1">
      <alignment horizontal="center"/>
    </xf>
    <xf numFmtId="0" fontId="12" fillId="4" borderId="22" xfId="2" applyFont="1" applyFill="1" applyBorder="1" applyAlignment="1">
      <alignment horizontal="center" vertical="center"/>
    </xf>
    <xf numFmtId="0" fontId="12" fillId="4" borderId="23" xfId="2" applyFont="1" applyFill="1" applyBorder="1" applyAlignment="1">
      <alignment horizontal="center" vertical="center"/>
    </xf>
    <xf numFmtId="0" fontId="12" fillId="4" borderId="25" xfId="2" applyFont="1" applyFill="1" applyBorder="1" applyAlignment="1">
      <alignment horizontal="center" vertical="center" wrapText="1"/>
    </xf>
    <xf numFmtId="0" fontId="12" fillId="4" borderId="26" xfId="2" applyFont="1" applyFill="1" applyBorder="1" applyAlignment="1">
      <alignment horizontal="center" vertical="center" wrapText="1"/>
    </xf>
    <xf numFmtId="0" fontId="12" fillId="4" borderId="27" xfId="2" applyFont="1" applyFill="1" applyBorder="1" applyAlignment="1">
      <alignment horizontal="center" vertical="center" wrapText="1"/>
    </xf>
    <xf numFmtId="168" fontId="12" fillId="4" borderId="25" xfId="2" applyNumberFormat="1" applyFont="1" applyFill="1" applyBorder="1" applyAlignment="1">
      <alignment horizontal="center" vertical="center"/>
    </xf>
    <xf numFmtId="168" fontId="12" fillId="4" borderId="26" xfId="2" applyNumberFormat="1" applyFont="1" applyFill="1" applyBorder="1" applyAlignment="1">
      <alignment horizontal="center" vertical="center"/>
    </xf>
    <xf numFmtId="168" fontId="12" fillId="4" borderId="27" xfId="2" applyNumberFormat="1" applyFont="1" applyFill="1" applyBorder="1" applyAlignment="1">
      <alignment horizontal="center" vertical="center"/>
    </xf>
    <xf numFmtId="0" fontId="19" fillId="4" borderId="25" xfId="4" applyFont="1" applyFill="1" applyBorder="1" applyAlignment="1">
      <alignment horizontal="center" vertical="center"/>
    </xf>
    <xf numFmtId="0" fontId="19" fillId="4" borderId="27" xfId="4" applyFont="1" applyFill="1" applyBorder="1" applyAlignment="1">
      <alignment horizontal="center" vertical="center"/>
    </xf>
    <xf numFmtId="168" fontId="23" fillId="0" borderId="2" xfId="2" applyNumberFormat="1" applyFont="1" applyBorder="1" applyAlignment="1">
      <alignment horizontal="center" vertical="top" wrapText="1"/>
    </xf>
    <xf numFmtId="168" fontId="23" fillId="0" borderId="0" xfId="2" applyNumberFormat="1" applyFont="1" applyAlignment="1">
      <alignment horizontal="center" vertical="top" wrapText="1"/>
    </xf>
    <xf numFmtId="168" fontId="12" fillId="4" borderId="17" xfId="2" applyNumberFormat="1" applyFont="1" applyFill="1" applyBorder="1" applyAlignment="1">
      <alignment horizontal="center" vertical="center"/>
    </xf>
    <xf numFmtId="168" fontId="12" fillId="4" borderId="13" xfId="2" applyNumberFormat="1" applyFont="1" applyFill="1" applyBorder="1" applyAlignment="1">
      <alignment horizontal="center" vertical="center"/>
    </xf>
    <xf numFmtId="0" fontId="15" fillId="0" borderId="5" xfId="2" applyFont="1" applyBorder="1" applyAlignment="1">
      <alignment horizontal="center" vertical="center"/>
    </xf>
    <xf numFmtId="0" fontId="15" fillId="0" borderId="5" xfId="3" applyFont="1" applyBorder="1" applyAlignment="1">
      <alignment horizontal="center" vertical="center"/>
    </xf>
    <xf numFmtId="0" fontId="12" fillId="4" borderId="6" xfId="3" applyFont="1" applyFill="1" applyBorder="1" applyAlignment="1">
      <alignment horizontal="center" vertical="center" wrapText="1"/>
    </xf>
    <xf numFmtId="0" fontId="12" fillId="4" borderId="10" xfId="3" applyFont="1" applyFill="1" applyBorder="1" applyAlignment="1">
      <alignment horizontal="center" vertical="center" wrapText="1"/>
    </xf>
    <xf numFmtId="168" fontId="19" fillId="4" borderId="7" xfId="2" applyNumberFormat="1" applyFont="1" applyFill="1" applyBorder="1" applyAlignment="1">
      <alignment horizontal="center" vertical="center" wrapText="1"/>
    </xf>
    <xf numFmtId="168" fontId="19" fillId="4" borderId="12" xfId="2" applyNumberFormat="1" applyFont="1" applyFill="1" applyBorder="1" applyAlignment="1">
      <alignment horizontal="center" vertical="center" wrapText="1"/>
    </xf>
    <xf numFmtId="168" fontId="12" fillId="4" borderId="1" xfId="2" applyNumberFormat="1" applyFont="1" applyFill="1" applyBorder="1" applyAlignment="1">
      <alignment horizontal="center" vertical="center"/>
    </xf>
    <xf numFmtId="168" fontId="12" fillId="4" borderId="8" xfId="2" applyNumberFormat="1" applyFont="1" applyFill="1" applyBorder="1" applyAlignment="1">
      <alignment horizontal="center" vertical="center"/>
    </xf>
    <xf numFmtId="168" fontId="12" fillId="4" borderId="9" xfId="2" applyNumberFormat="1" applyFont="1" applyFill="1" applyBorder="1" applyAlignment="1">
      <alignment horizontal="center" vertical="center"/>
    </xf>
    <xf numFmtId="168" fontId="12" fillId="4" borderId="10" xfId="2" applyNumberFormat="1" applyFont="1" applyFill="1" applyBorder="1" applyAlignment="1">
      <alignment horizontal="center" vertical="center"/>
    </xf>
    <xf numFmtId="168" fontId="2" fillId="4" borderId="7" xfId="2" applyNumberFormat="1" applyFill="1" applyBorder="1" applyAlignment="1">
      <alignment horizontal="center" vertical="center" wrapText="1"/>
    </xf>
    <xf numFmtId="168" fontId="2" fillId="4" borderId="12" xfId="2" applyNumberFormat="1" applyFill="1" applyBorder="1" applyAlignment="1">
      <alignment horizontal="center" vertical="center" wrapText="1"/>
    </xf>
    <xf numFmtId="168" fontId="12" fillId="4" borderId="11" xfId="2" applyNumberFormat="1" applyFont="1" applyFill="1" applyBorder="1" applyAlignment="1">
      <alignment horizontal="center" vertical="center"/>
    </xf>
    <xf numFmtId="0" fontId="9" fillId="0" borderId="0" xfId="2" applyFont="1" applyAlignment="1">
      <alignment horizontal="right" vertical="center"/>
    </xf>
    <xf numFmtId="0" fontId="0" fillId="0" borderId="0" xfId="0" applyAlignment="1">
      <alignment horizontal="right" vertical="center"/>
    </xf>
    <xf numFmtId="0" fontId="6" fillId="0" borderId="0" xfId="3" applyFont="1" applyAlignment="1">
      <alignment horizontal="center" vertical="top"/>
    </xf>
    <xf numFmtId="0" fontId="7" fillId="0" borderId="0" xfId="2" applyFont="1" applyAlignment="1">
      <alignment horizontal="center"/>
    </xf>
    <xf numFmtId="0" fontId="9" fillId="4" borderId="0" xfId="2" applyFont="1" applyFill="1" applyAlignment="1">
      <alignment horizontal="right" vertical="center" wrapText="1"/>
    </xf>
    <xf numFmtId="0" fontId="9" fillId="4" borderId="0" xfId="2" applyFont="1" applyFill="1" applyAlignment="1">
      <alignment vertical="center"/>
    </xf>
    <xf numFmtId="1" fontId="9" fillId="4" borderId="1" xfId="3" applyNumberFormat="1" applyFont="1" applyFill="1" applyBorder="1" applyAlignment="1">
      <alignment horizontal="center" vertical="center"/>
    </xf>
    <xf numFmtId="0" fontId="9" fillId="4" borderId="0" xfId="2" applyFont="1" applyFill="1" applyAlignment="1">
      <alignment horizontal="right" vertical="center"/>
    </xf>
    <xf numFmtId="165" fontId="9" fillId="4" borderId="1" xfId="3" applyNumberFormat="1" applyFont="1" applyFill="1" applyBorder="1" applyAlignment="1">
      <alignment horizontal="center" vertical="center"/>
    </xf>
  </cellXfs>
  <cellStyles count="5">
    <cellStyle name="Hyperlink" xfId="1" builtinId="8"/>
    <cellStyle name="Normal" xfId="0" builtinId="0"/>
    <cellStyle name="Normal 2" xfId="2" xr:uid="{8726B1BA-A658-48A3-A2D9-8D5767769854}"/>
    <cellStyle name="Normal_English Headings" xfId="3" xr:uid="{A1CB88E9-B01E-4104-9E4C-B77DCA0C87B9}"/>
    <cellStyle name="Normal_IsoKinetic Data" xfId="4" xr:uid="{191546EB-EDBD-4FA7-B015-7CF75740BCAB}"/>
  </cellStyles>
  <dxfs count="16">
    <dxf>
      <font>
        <color rgb="FF9C0006"/>
      </font>
      <fill>
        <patternFill>
          <bgColor rgb="FFFFC7CE"/>
        </patternFill>
      </fill>
    </dxf>
    <dxf>
      <font>
        <color rgb="FF006100"/>
      </font>
      <fill>
        <patternFill>
          <bgColor rgb="FFC6EFCE"/>
        </patternFill>
      </fill>
    </dxf>
    <dxf>
      <fill>
        <patternFill patternType="solid">
          <fgColor auto="1"/>
          <bgColor rgb="FFFFFF99"/>
        </patternFill>
      </fill>
    </dxf>
    <dxf>
      <font>
        <color rgb="FF336600"/>
      </font>
      <fill>
        <patternFill>
          <bgColor rgb="FFCCFFCC"/>
        </patternFill>
      </fill>
    </dxf>
    <dxf>
      <font>
        <color rgb="FF336600"/>
      </font>
      <fill>
        <patternFill>
          <bgColor rgb="FFCCFFCC"/>
        </patternFill>
      </fill>
    </dxf>
    <dxf>
      <fill>
        <patternFill patternType="solid">
          <fgColor indexed="64"/>
          <bgColor rgb="FFFFFF99"/>
        </patternFill>
      </fill>
    </dxf>
    <dxf>
      <font>
        <color rgb="FFA50021"/>
      </font>
      <fill>
        <patternFill>
          <fgColor auto="1"/>
          <bgColor rgb="FFFFCCCC"/>
        </patternFill>
      </fill>
    </dxf>
    <dxf>
      <font>
        <color rgb="FFA50021"/>
      </font>
      <fill>
        <patternFill>
          <bgColor rgb="FFFFCCCC"/>
        </patternFill>
      </fill>
    </dxf>
    <dxf>
      <fill>
        <patternFill patternType="solid">
          <fgColor auto="1"/>
          <bgColor rgb="FFFFFF99"/>
        </patternFill>
      </fill>
    </dxf>
    <dxf>
      <font>
        <color rgb="FF336600"/>
      </font>
      <fill>
        <patternFill>
          <bgColor rgb="FFCCFFCC"/>
        </patternFill>
      </fill>
    </dxf>
    <dxf>
      <font>
        <color rgb="FF336600"/>
      </font>
      <fill>
        <patternFill>
          <bgColor rgb="FFCCFFCC"/>
        </patternFill>
      </fill>
    </dxf>
    <dxf>
      <fill>
        <patternFill patternType="solid">
          <fgColor indexed="64"/>
          <bgColor rgb="FFFFFF99"/>
        </patternFill>
      </fill>
    </dxf>
    <dxf>
      <font>
        <color rgb="FFA50021"/>
      </font>
      <fill>
        <patternFill>
          <fgColor auto="1"/>
          <bgColor rgb="FFFFCCCC"/>
        </patternFill>
      </fill>
    </dxf>
    <dxf>
      <font>
        <color rgb="FFA50021"/>
      </font>
      <fill>
        <patternFill>
          <bgColor rgb="FFFFCCC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47C1D9"/>
      <color rgb="FF59C7DD"/>
      <color rgb="FF2BB6D1"/>
      <color rgb="FF14ADD9"/>
      <color rgb="FF0A576D"/>
      <color rgb="FFD0E5C1"/>
      <color rgb="FF91C36F"/>
      <color rgb="FFA0CC82"/>
      <color rgb="FF6AA343"/>
      <color rgb="FF81BB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3" Type="http://schemas.openxmlformats.org/officeDocument/2006/relationships/image" Target="../media/image3.gif"/><Relationship Id="rId7" Type="http://schemas.openxmlformats.org/officeDocument/2006/relationships/image" Target="../media/image7.gif"/><Relationship Id="rId12" Type="http://schemas.openxmlformats.org/officeDocument/2006/relationships/image" Target="../media/image12.png"/><Relationship Id="rId2" Type="http://schemas.openxmlformats.org/officeDocument/2006/relationships/image" Target="../media/image2.gif"/><Relationship Id="rId1" Type="http://schemas.openxmlformats.org/officeDocument/2006/relationships/image" Target="../media/image1.gif"/><Relationship Id="rId6" Type="http://schemas.openxmlformats.org/officeDocument/2006/relationships/image" Target="../media/image6.gif"/><Relationship Id="rId11" Type="http://schemas.openxmlformats.org/officeDocument/2006/relationships/image" Target="../media/image11.png"/><Relationship Id="rId5" Type="http://schemas.openxmlformats.org/officeDocument/2006/relationships/image" Target="../media/image5.gif"/><Relationship Id="rId10" Type="http://schemas.openxmlformats.org/officeDocument/2006/relationships/image" Target="../media/image10.png"/><Relationship Id="rId4" Type="http://schemas.openxmlformats.org/officeDocument/2006/relationships/image" Target="../media/image4.gif"/><Relationship Id="rId9" Type="http://schemas.openxmlformats.org/officeDocument/2006/relationships/image" Target="../media/image9.gif"/></Relationships>
</file>

<file path=xl/drawings/drawing1.xml><?xml version="1.0" encoding="utf-8"?>
<xdr:wsDr xmlns:xdr="http://schemas.openxmlformats.org/drawingml/2006/spreadsheetDrawing" xmlns:a="http://schemas.openxmlformats.org/drawingml/2006/main">
  <xdr:twoCellAnchor editAs="oneCell">
    <xdr:from>
      <xdr:col>4</xdr:col>
      <xdr:colOff>580512</xdr:colOff>
      <xdr:row>47</xdr:row>
      <xdr:rowOff>40863</xdr:rowOff>
    </xdr:from>
    <xdr:to>
      <xdr:col>7</xdr:col>
      <xdr:colOff>582813</xdr:colOff>
      <xdr:row>49</xdr:row>
      <xdr:rowOff>139700</xdr:rowOff>
    </xdr:to>
    <xdr:pic>
      <xdr:nvPicPr>
        <xdr:cNvPr id="3" name="Picture 2" descr="https://latex.codecogs.com/gif.latex?%5Cdpi%7B200%7D%20V_%7Bw%28std%29%7D%20%3D%20Y*K_1%5Cfrac%7BV_w*%28P_%7Bbar%7D&amp;plus;%5Cfrac%7BP_%7Bm%28g%29%7D%7D%7B13.6%7D%29%7D%7BT_w%7D">
          <a:extLst>
            <a:ext uri="{FF2B5EF4-FFF2-40B4-BE49-F238E27FC236}">
              <a16:creationId xmlns:a16="http://schemas.microsoft.com/office/drawing/2014/main" id="{35A28C80-0CB1-4877-AC56-881463DCE9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03237" y="10880313"/>
          <a:ext cx="2939176" cy="47983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658345</xdr:colOff>
      <xdr:row>52</xdr:row>
      <xdr:rowOff>24710</xdr:rowOff>
    </xdr:from>
    <xdr:to>
      <xdr:col>7</xdr:col>
      <xdr:colOff>444773</xdr:colOff>
      <xdr:row>54</xdr:row>
      <xdr:rowOff>54535</xdr:rowOff>
    </xdr:to>
    <xdr:pic>
      <xdr:nvPicPr>
        <xdr:cNvPr id="4" name="Picture 3" descr="https://latex.codecogs.com/gif.latex?%5Cdpi%7B200%7D%20Counts_%7Bstd%7D%20%3D%20K_1%5Cfrac%7BC_%7Btotal%7D*%28P_%7Bbar%7D&amp;plus;%5Cfrac%7BP_%7Bm%28g%29%7D%7D%7B13.6%7D%29%7D%7BT_m%7D">
          <a:extLst>
            <a:ext uri="{FF2B5EF4-FFF2-40B4-BE49-F238E27FC236}">
              <a16:creationId xmlns:a16="http://schemas.microsoft.com/office/drawing/2014/main" id="{250FC088-DD79-4F1A-A509-C100F47B0DA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74720" y="11819835"/>
          <a:ext cx="2764578" cy="410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929798</xdr:colOff>
      <xdr:row>54</xdr:row>
      <xdr:rowOff>144739</xdr:rowOff>
    </xdr:from>
    <xdr:to>
      <xdr:col>8</xdr:col>
      <xdr:colOff>53975</xdr:colOff>
      <xdr:row>56</xdr:row>
      <xdr:rowOff>121112</xdr:rowOff>
    </xdr:to>
    <xdr:pic>
      <xdr:nvPicPr>
        <xdr:cNvPr id="5" name="Picture 4" descr="https://latex.codecogs.com/gif.latex?%5Cdpi%7B200%7D%20Y_%7Bsc%7D%20%3D%20%5Cfrac%7BV_%7Bw%28std%29%7D%7D%7BCounts_%7Bstd%7D%7D">
          <a:extLst>
            <a:ext uri="{FF2B5EF4-FFF2-40B4-BE49-F238E27FC236}">
              <a16:creationId xmlns:a16="http://schemas.microsoft.com/office/drawing/2014/main" id="{0632DD4E-77F1-4DE2-9F79-D054A909B86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03573" y="12314514"/>
          <a:ext cx="1156177" cy="3605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731865</xdr:colOff>
      <xdr:row>50</xdr:row>
      <xdr:rowOff>66417</xdr:rowOff>
    </xdr:from>
    <xdr:to>
      <xdr:col>7</xdr:col>
      <xdr:colOff>381000</xdr:colOff>
      <xdr:row>51</xdr:row>
      <xdr:rowOff>85034</xdr:rowOff>
    </xdr:to>
    <xdr:pic>
      <xdr:nvPicPr>
        <xdr:cNvPr id="6" name="Picture 5" descr="https://latex.codecogs.com/gif.latex?%5Cdpi%7B200%7D%20V_%7Bm%28std%29%7D%20%3D%20Counts_%7Bstd%7D%5C%3A*%5C%3AY_%7Bsc%28avg%29%7D">
          <a:extLst>
            <a:ext uri="{FF2B5EF4-FFF2-40B4-BE49-F238E27FC236}">
              <a16:creationId xmlns:a16="http://schemas.microsoft.com/office/drawing/2014/main" id="{604E1265-B0EA-4AA2-B21A-7D97FC5759FC}"/>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54590" y="11480542"/>
          <a:ext cx="2617760" cy="20594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134957</xdr:colOff>
      <xdr:row>56</xdr:row>
      <xdr:rowOff>116855</xdr:rowOff>
    </xdr:from>
    <xdr:to>
      <xdr:col>6</xdr:col>
      <xdr:colOff>939800</xdr:colOff>
      <xdr:row>58</xdr:row>
      <xdr:rowOff>143621</xdr:rowOff>
    </xdr:to>
    <xdr:pic>
      <xdr:nvPicPr>
        <xdr:cNvPr id="7" name="Picture 6" descr="https://latex.codecogs.com/gif.latex?%5CLARGE%20Y%20%3D%20%5Cfrac%7BV_%7Bcr%28std%29%7D%7D%7BV_%7Bm%28std%29%7D%7D">
          <a:extLst>
            <a:ext uri="{FF2B5EF4-FFF2-40B4-BE49-F238E27FC236}">
              <a16:creationId xmlns:a16="http://schemas.microsoft.com/office/drawing/2014/main" id="{6CB128FE-56A8-4A91-B45A-D4AC1BA4D6A9}"/>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211907" y="12670805"/>
          <a:ext cx="779443" cy="4077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209063</xdr:colOff>
      <xdr:row>56</xdr:row>
      <xdr:rowOff>109490</xdr:rowOff>
    </xdr:from>
    <xdr:to>
      <xdr:col>4</xdr:col>
      <xdr:colOff>939801</xdr:colOff>
      <xdr:row>58</xdr:row>
      <xdr:rowOff>113365</xdr:rowOff>
    </xdr:to>
    <xdr:pic>
      <xdr:nvPicPr>
        <xdr:cNvPr id="8" name="Picture 7" descr="https://latex.codecogs.com/gif.latex?%5Cdpi%7B200%7D%20K_1%20%3D%20%5Cfrac%7BT_%7Bstd%7D%7D%7BP_%7Bstd%7D%7D">
          <a:extLst>
            <a:ext uri="{FF2B5EF4-FFF2-40B4-BE49-F238E27FC236}">
              <a16:creationId xmlns:a16="http://schemas.microsoft.com/office/drawing/2014/main" id="{94828D6D-6604-4C18-8939-05342B945942}"/>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228613" y="12660265"/>
          <a:ext cx="705338" cy="391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138710</xdr:colOff>
      <xdr:row>59</xdr:row>
      <xdr:rowOff>138029</xdr:rowOff>
    </xdr:from>
    <xdr:to>
      <xdr:col>9</xdr:col>
      <xdr:colOff>17079</xdr:colOff>
      <xdr:row>61</xdr:row>
      <xdr:rowOff>112247</xdr:rowOff>
    </xdr:to>
    <xdr:pic>
      <xdr:nvPicPr>
        <xdr:cNvPr id="9" name="Picture 8" descr="https://latex.codecogs.com/gif.latex?%5Cdpi%7B200%7D%20Metric%20%5C%3A%5CDelta%20H_%7B@%7D%20%3D%20%5Cfrac%7BP_%7Bm%28g%29%7D*0.0011696*%28P_%7Bbar%7D&amp;plus;%5Cfrac%7BP_%7Bm%28g%29%7D%7D%7B13.6%7D%29%7D%7BT_%7Bm%7D%7D*%5Cleft%20%28%20%5Cfrac%7BT_%7Bw%7D*%5CTheta%20%7D%7BV_%7Bw%7D*P_%7Bbar%7D%7D%20%5Cright%20%29%5E2">
          <a:extLst>
            <a:ext uri="{FF2B5EF4-FFF2-40B4-BE49-F238E27FC236}">
              <a16:creationId xmlns:a16="http://schemas.microsoft.com/office/drawing/2014/main" id="{8FA79202-B494-46C1-9395-4B860243A2C9}"/>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4161435" y="13266654"/>
          <a:ext cx="3885219" cy="3552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114300</xdr:colOff>
      <xdr:row>41</xdr:row>
      <xdr:rowOff>0</xdr:rowOff>
    </xdr:from>
    <xdr:ext cx="2440641" cy="672540"/>
    <xdr:pic>
      <xdr:nvPicPr>
        <xdr:cNvPr id="10" name="Picture 1043" descr="Apex Black Logo">
          <a:extLst>
            <a:ext uri="{FF2B5EF4-FFF2-40B4-BE49-F238E27FC236}">
              <a16:creationId xmlns:a16="http://schemas.microsoft.com/office/drawing/2014/main" id="{CE5A6B91-B190-4053-A34E-401F24E3E45C}"/>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752475" y="9639300"/>
          <a:ext cx="2440641" cy="672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editAs="oneCell">
    <xdr:from>
      <xdr:col>5</xdr:col>
      <xdr:colOff>72279</xdr:colOff>
      <xdr:row>54</xdr:row>
      <xdr:rowOff>152400</xdr:rowOff>
    </xdr:from>
    <xdr:to>
      <xdr:col>6</xdr:col>
      <xdr:colOff>120650</xdr:colOff>
      <xdr:row>56</xdr:row>
      <xdr:rowOff>149340</xdr:rowOff>
    </xdr:to>
    <xdr:pic>
      <xdr:nvPicPr>
        <xdr:cNvPr id="11" name="Picture 10" descr="https://latex.codecogs.com/gif.latex?%5Cdpi%7B200%7D%20Q_%7Bw%28std%29%7D%20%3D%20%5Cfrac%7BV_%7Bw%28std%29%7D%7D%7B%5CTheta%20%7D">
          <a:extLst>
            <a:ext uri="{FF2B5EF4-FFF2-40B4-BE49-F238E27FC236}">
              <a16:creationId xmlns:a16="http://schemas.microsoft.com/office/drawing/2014/main" id="{B8AE55E9-98C7-49DE-ACAA-9EE9FE3E26DA}"/>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117354" y="12325350"/>
          <a:ext cx="1054846" cy="381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161925</xdr:colOff>
      <xdr:row>31</xdr:row>
      <xdr:rowOff>142875</xdr:rowOff>
    </xdr:from>
    <xdr:to>
      <xdr:col>14</xdr:col>
      <xdr:colOff>923925</xdr:colOff>
      <xdr:row>31</xdr:row>
      <xdr:rowOff>142875</xdr:rowOff>
    </xdr:to>
    <xdr:cxnSp macro="">
      <xdr:nvCxnSpPr>
        <xdr:cNvPr id="12" name="Straight Connector 11">
          <a:extLst>
            <a:ext uri="{FF2B5EF4-FFF2-40B4-BE49-F238E27FC236}">
              <a16:creationId xmlns:a16="http://schemas.microsoft.com/office/drawing/2014/main" id="{20A91A2B-B207-4F62-9DAC-676A2AEC8237}"/>
            </a:ext>
          </a:extLst>
        </xdr:cNvPr>
        <xdr:cNvCxnSpPr/>
      </xdr:nvCxnSpPr>
      <xdr:spPr bwMode="auto">
        <a:xfrm>
          <a:off x="11445875" y="7559675"/>
          <a:ext cx="2819400" cy="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9</xdr:col>
      <xdr:colOff>231774</xdr:colOff>
      <xdr:row>47</xdr:row>
      <xdr:rowOff>111723</xdr:rowOff>
    </xdr:from>
    <xdr:to>
      <xdr:col>14</xdr:col>
      <xdr:colOff>917574</xdr:colOff>
      <xdr:row>61</xdr:row>
      <xdr:rowOff>162021</xdr:rowOff>
    </xdr:to>
    <xdr:pic>
      <xdr:nvPicPr>
        <xdr:cNvPr id="13" name="Picture 12">
          <a:extLst>
            <a:ext uri="{FF2B5EF4-FFF2-40B4-BE49-F238E27FC236}">
              <a16:creationId xmlns:a16="http://schemas.microsoft.com/office/drawing/2014/main" id="{257E7E6F-864C-4AD9-B1A6-99AA5F12F4C7}"/>
            </a:ext>
          </a:extLst>
        </xdr:cNvPr>
        <xdr:cNvPicPr>
          <a:picLocks noChangeAspect="1"/>
        </xdr:cNvPicPr>
      </xdr:nvPicPr>
      <xdr:blipFill>
        <a:blip xmlns:r="http://schemas.openxmlformats.org/officeDocument/2006/relationships" r:embed="rId10"/>
        <a:stretch>
          <a:fillRect/>
        </a:stretch>
      </xdr:blipFill>
      <xdr:spPr>
        <a:xfrm>
          <a:off x="8432799" y="10951173"/>
          <a:ext cx="5572125" cy="2717298"/>
        </a:xfrm>
        <a:prstGeom prst="rect">
          <a:avLst/>
        </a:prstGeom>
      </xdr:spPr>
    </xdr:pic>
    <xdr:clientData/>
  </xdr:twoCellAnchor>
  <xdr:twoCellAnchor editAs="oneCell">
    <xdr:from>
      <xdr:col>1</xdr:col>
      <xdr:colOff>66675</xdr:colOff>
      <xdr:row>0</xdr:row>
      <xdr:rowOff>161925</xdr:rowOff>
    </xdr:from>
    <xdr:to>
      <xdr:col>2</xdr:col>
      <xdr:colOff>752475</xdr:colOff>
      <xdr:row>3</xdr:row>
      <xdr:rowOff>179716</xdr:rowOff>
    </xdr:to>
    <xdr:pic>
      <xdr:nvPicPr>
        <xdr:cNvPr id="16" name="Picture 15">
          <a:extLst>
            <a:ext uri="{FF2B5EF4-FFF2-40B4-BE49-F238E27FC236}">
              <a16:creationId xmlns:a16="http://schemas.microsoft.com/office/drawing/2014/main" id="{555CE0D4-308B-4434-B869-1522EB57425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676275" y="161925"/>
          <a:ext cx="1819275" cy="760741"/>
        </a:xfrm>
        <a:prstGeom prst="rect">
          <a:avLst/>
        </a:prstGeom>
      </xdr:spPr>
    </xdr:pic>
    <xdr:clientData/>
  </xdr:twoCellAnchor>
  <xdr:twoCellAnchor>
    <xdr:from>
      <xdr:col>13</xdr:col>
      <xdr:colOff>295276</xdr:colOff>
      <xdr:row>1</xdr:row>
      <xdr:rowOff>104776</xdr:rowOff>
    </xdr:from>
    <xdr:to>
      <xdr:col>14</xdr:col>
      <xdr:colOff>685801</xdr:colOff>
      <xdr:row>2</xdr:row>
      <xdr:rowOff>152400</xdr:rowOff>
    </xdr:to>
    <xdr:sp macro="[0]!DISLoadData" textlink="">
      <xdr:nvSpPr>
        <xdr:cNvPr id="19" name="Rectangle: Rounded Corners 18">
          <a:extLst>
            <a:ext uri="{FF2B5EF4-FFF2-40B4-BE49-F238E27FC236}">
              <a16:creationId xmlns:a16="http://schemas.microsoft.com/office/drawing/2014/main" id="{D13C7637-C4FC-B409-F38E-922E60C5A09D}"/>
            </a:ext>
          </a:extLst>
        </xdr:cNvPr>
        <xdr:cNvSpPr/>
      </xdr:nvSpPr>
      <xdr:spPr>
        <a:xfrm>
          <a:off x="12049126" y="352426"/>
          <a:ext cx="1371600" cy="295274"/>
        </a:xfrm>
        <a:prstGeom prst="roundRect">
          <a:avLst/>
        </a:prstGeom>
        <a:gradFill>
          <a:gsLst>
            <a:gs pos="0">
              <a:srgbClr val="2BB6D1"/>
            </a:gs>
            <a:gs pos="58000">
              <a:srgbClr val="47C1D9"/>
            </a:gs>
            <a:gs pos="100000">
              <a:srgbClr val="2BB6D1"/>
            </a:gs>
          </a:gsLst>
          <a:lin ang="5400000" scaled="1"/>
        </a:gradFill>
        <a:ln>
          <a:noFill/>
        </a:ln>
      </xdr:spPr>
      <xdr:style>
        <a:lnRef idx="2">
          <a:schemeClr val="accent5">
            <a:shade val="50000"/>
          </a:schemeClr>
        </a:lnRef>
        <a:fillRef idx="1">
          <a:schemeClr val="accent5"/>
        </a:fillRef>
        <a:effectRef idx="0">
          <a:schemeClr val="accent5"/>
        </a:effectRef>
        <a:fontRef idx="minor">
          <a:schemeClr val="lt1"/>
        </a:fontRef>
      </xdr:style>
      <xdr:txBody>
        <a:bodyPr vertOverflow="clip" horzOverflow="clip" rtlCol="0" anchor="t"/>
        <a:lstStyle/>
        <a:p>
          <a:pPr algn="l"/>
          <a:r>
            <a:rPr lang="en-US" sz="1100"/>
            <a:t>         </a:t>
          </a:r>
          <a:r>
            <a:rPr lang="en-US" sz="1100" b="1"/>
            <a:t>IMPORT</a:t>
          </a:r>
          <a:r>
            <a:rPr lang="en-US" sz="1100" b="1" baseline="0"/>
            <a:t> DATA</a:t>
          </a:r>
          <a:endParaRPr lang="en-US" sz="1100" b="1"/>
        </a:p>
      </xdr:txBody>
    </xdr:sp>
    <xdr:clientData/>
  </xdr:twoCellAnchor>
  <xdr:twoCellAnchor editAs="oneCell">
    <xdr:from>
      <xdr:col>13</xdr:col>
      <xdr:colOff>371475</xdr:colOff>
      <xdr:row>1</xdr:row>
      <xdr:rowOff>123825</xdr:rowOff>
    </xdr:from>
    <xdr:to>
      <xdr:col>13</xdr:col>
      <xdr:colOff>638175</xdr:colOff>
      <xdr:row>2</xdr:row>
      <xdr:rowOff>142875</xdr:rowOff>
    </xdr:to>
    <xdr:pic>
      <xdr:nvPicPr>
        <xdr:cNvPr id="25" name="Graphic 24" descr="Circle with left arrow with solid fill">
          <a:extLst>
            <a:ext uri="{FF2B5EF4-FFF2-40B4-BE49-F238E27FC236}">
              <a16:creationId xmlns:a16="http://schemas.microsoft.com/office/drawing/2014/main" id="{C0949202-DD07-FE04-0091-796B3B4C2ABA}"/>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rot="5400000">
          <a:off x="12125325" y="371475"/>
          <a:ext cx="266700" cy="266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1.weather.gov/data/obhistory/KHRJ.html" TargetMode="External"/><Relationship Id="rId1" Type="http://schemas.openxmlformats.org/officeDocument/2006/relationships/hyperlink" Target="http://w1.weather.gov/data/obhistory/KHRJ.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B401B-17C0-4600-B22C-EE9B1A5FF9C9}">
  <sheetPr codeName="Sheet1"/>
  <dimension ref="A1:AF96"/>
  <sheetViews>
    <sheetView tabSelected="1" workbookViewId="0"/>
  </sheetViews>
  <sheetFormatPr defaultColWidth="9.140625" defaultRowHeight="12.75" x14ac:dyDescent="0.2"/>
  <cols>
    <col min="1" max="1" width="9.140625" style="1"/>
    <col min="2" max="2" width="17" style="1" customWidth="1"/>
    <col min="3" max="3" width="16" style="1" bestFit="1" customWidth="1"/>
    <col min="4" max="4" width="15.42578125" style="1" bestFit="1" customWidth="1"/>
    <col min="5" max="8" width="14.7109375" style="1" customWidth="1"/>
    <col min="9" max="9" width="1" style="1" customWidth="1"/>
    <col min="10" max="15" width="14.7109375" style="1" customWidth="1"/>
    <col min="16" max="16" width="10.7109375" style="1" customWidth="1"/>
    <col min="17" max="18" width="8.5703125" style="1" bestFit="1" customWidth="1"/>
    <col min="19" max="19" width="16" style="1" bestFit="1" customWidth="1"/>
    <col min="20" max="20" width="9.7109375" style="1" bestFit="1" customWidth="1"/>
    <col min="21" max="21" width="13.85546875" style="1" bestFit="1" customWidth="1"/>
    <col min="22" max="22" width="14.7109375" style="1" customWidth="1"/>
    <col min="23" max="23" width="8.42578125" style="1" bestFit="1" customWidth="1"/>
    <col min="24" max="24" width="10.28515625" style="1" bestFit="1" customWidth="1"/>
    <col min="25" max="25" width="1.7109375" style="1" customWidth="1"/>
    <col min="26" max="26" width="14.140625" style="1" bestFit="1" customWidth="1"/>
    <col min="27" max="27" width="14.42578125" style="1" bestFit="1" customWidth="1"/>
    <col min="28" max="28" width="9.140625" style="1"/>
    <col min="29" max="29" width="19" style="1" bestFit="1" customWidth="1"/>
    <col min="30" max="30" width="2.5703125" style="1" bestFit="1" customWidth="1"/>
    <col min="31" max="16384" width="9.140625" style="1"/>
  </cols>
  <sheetData>
    <row r="1" spans="1:31" ht="20.100000000000001" customHeight="1" x14ac:dyDescent="0.2">
      <c r="A1" s="4" t="s">
        <v>113</v>
      </c>
    </row>
    <row r="2" spans="1:31" ht="20.100000000000001" customHeight="1" x14ac:dyDescent="0.35">
      <c r="B2" s="2" t="s">
        <v>0</v>
      </c>
      <c r="C2" s="2"/>
      <c r="D2" s="2"/>
      <c r="E2" s="2"/>
      <c r="F2" s="166" t="s">
        <v>1</v>
      </c>
      <c r="G2" s="166"/>
      <c r="H2" s="166"/>
      <c r="I2" s="166"/>
      <c r="J2" s="166"/>
      <c r="K2" s="166"/>
      <c r="L2"/>
      <c r="M2"/>
      <c r="N2"/>
      <c r="O2"/>
    </row>
    <row r="3" spans="1:31" ht="20.100000000000001" customHeight="1" x14ac:dyDescent="0.25">
      <c r="C3" s="3"/>
      <c r="D3" s="3"/>
      <c r="F3" s="167" t="s">
        <v>111</v>
      </c>
      <c r="G3" s="167"/>
      <c r="H3" s="167"/>
      <c r="I3" s="167"/>
      <c r="J3" s="167"/>
      <c r="K3" s="167"/>
      <c r="L3"/>
      <c r="M3"/>
      <c r="N3"/>
      <c r="O3"/>
    </row>
    <row r="4" spans="1:31" ht="20.100000000000001" customHeight="1" x14ac:dyDescent="0.2">
      <c r="C4" s="216"/>
      <c r="D4" s="216"/>
      <c r="E4" s="216"/>
      <c r="F4" s="216"/>
      <c r="G4" s="216"/>
      <c r="H4" s="216"/>
      <c r="I4" s="216"/>
      <c r="J4" s="216"/>
      <c r="K4" s="216"/>
      <c r="L4" s="216"/>
      <c r="M4" s="216"/>
      <c r="N4" s="216"/>
      <c r="R4" s="5"/>
    </row>
    <row r="5" spans="1:31" ht="20.100000000000001" customHeight="1" x14ac:dyDescent="0.25">
      <c r="B5" s="217" t="s">
        <v>3</v>
      </c>
      <c r="C5" s="217"/>
      <c r="E5" s="6" t="s">
        <v>4</v>
      </c>
      <c r="F5" s="6"/>
      <c r="H5" s="217" t="s">
        <v>5</v>
      </c>
      <c r="I5" s="217"/>
      <c r="J5" s="217"/>
      <c r="K5" s="7"/>
      <c r="N5" s="8" t="s">
        <v>6</v>
      </c>
      <c r="R5" s="5"/>
    </row>
    <row r="6" spans="1:31" s="18" customFormat="1" ht="20.100000000000001" customHeight="1" x14ac:dyDescent="0.2">
      <c r="B6" s="9" t="s">
        <v>7</v>
      </c>
      <c r="C6" s="10"/>
      <c r="D6" s="11"/>
      <c r="E6" s="12" t="s">
        <v>8</v>
      </c>
      <c r="F6" s="13"/>
      <c r="G6" s="11"/>
      <c r="H6" s="9" t="s">
        <v>9</v>
      </c>
      <c r="I6" s="14"/>
      <c r="J6" s="15"/>
      <c r="K6" s="11"/>
      <c r="L6" s="16" t="s">
        <v>114</v>
      </c>
      <c r="M6" s="17"/>
      <c r="N6" s="16" t="s">
        <v>115</v>
      </c>
      <c r="O6" s="17"/>
      <c r="W6" s="19" t="s">
        <v>10</v>
      </c>
      <c r="X6" s="20" t="str">
        <f>IF(ISBLANK(P_b),
"",
P_b*25.4)</f>
        <v/>
      </c>
    </row>
    <row r="7" spans="1:31" s="18" customFormat="1" ht="20.100000000000001" customHeight="1" x14ac:dyDescent="0.2">
      <c r="B7" s="9" t="s">
        <v>11</v>
      </c>
      <c r="C7" s="10"/>
      <c r="D7" s="11"/>
      <c r="E7" s="21" t="s">
        <v>12</v>
      </c>
      <c r="F7" s="22"/>
      <c r="G7" s="11"/>
      <c r="H7" s="9" t="s">
        <v>13</v>
      </c>
      <c r="I7" s="23"/>
      <c r="J7" s="24">
        <v>760</v>
      </c>
      <c r="K7" s="11"/>
      <c r="L7" s="16" t="s">
        <v>116</v>
      </c>
      <c r="M7" s="25"/>
      <c r="N7" s="16" t="s">
        <v>14</v>
      </c>
      <c r="O7" s="26"/>
      <c r="W7" s="27" t="s">
        <v>15</v>
      </c>
      <c r="X7" s="28" t="str">
        <f>IF(ISBLANK(F7),
"",
(F7-32)*(5/9))</f>
        <v/>
      </c>
    </row>
    <row r="8" spans="1:31" s="18" customFormat="1" ht="20.100000000000001" customHeight="1" x14ac:dyDescent="0.2">
      <c r="B8" s="9" t="s">
        <v>16</v>
      </c>
      <c r="C8" s="10"/>
      <c r="D8" s="11"/>
      <c r="E8" s="29" t="s">
        <v>17</v>
      </c>
      <c r="F8" s="30"/>
      <c r="G8" s="11"/>
      <c r="H8" s="9" t="s">
        <v>18</v>
      </c>
      <c r="I8" s="31"/>
      <c r="J8" s="26">
        <f>J6/J7</f>
        <v>0</v>
      </c>
      <c r="K8" s="214" t="s">
        <v>117</v>
      </c>
      <c r="L8" s="215"/>
      <c r="M8" s="17"/>
      <c r="N8" s="218" t="s">
        <v>118</v>
      </c>
      <c r="O8" s="219"/>
      <c r="Q8" s="32"/>
      <c r="W8" s="16" t="s">
        <v>17</v>
      </c>
      <c r="X8" s="33" t="str">
        <f>IF(ISBLANK(F8),
"",
F8)</f>
        <v/>
      </c>
    </row>
    <row r="9" spans="1:31" s="18" customFormat="1" ht="20.100000000000001" customHeight="1" x14ac:dyDescent="0.2">
      <c r="B9" s="9" t="s">
        <v>19</v>
      </c>
      <c r="C9" s="10"/>
      <c r="D9" s="11"/>
      <c r="E9" s="29" t="s">
        <v>20</v>
      </c>
      <c r="F9" s="34"/>
      <c r="G9" s="11" t="s">
        <v>0</v>
      </c>
      <c r="H9" s="11"/>
      <c r="I9" s="11"/>
      <c r="J9" s="11"/>
      <c r="K9" s="219"/>
      <c r="L9" s="221" t="s">
        <v>119</v>
      </c>
      <c r="M9" s="222"/>
      <c r="N9" s="218"/>
      <c r="O9" s="220"/>
      <c r="Q9" s="35"/>
      <c r="W9" s="16" t="s">
        <v>21</v>
      </c>
      <c r="X9" s="36" t="str">
        <f>IF(ISBLANK(F9),
"",
F9*0.3048)</f>
        <v/>
      </c>
    </row>
    <row r="10" spans="1:31" s="18" customFormat="1" ht="20.100000000000001" customHeight="1" x14ac:dyDescent="0.2">
      <c r="B10" s="37" t="s">
        <v>22</v>
      </c>
      <c r="C10" s="38"/>
      <c r="D10" s="39"/>
      <c r="E10" s="29" t="s">
        <v>23</v>
      </c>
      <c r="F10" s="40" t="str">
        <f>IF(ISBLANK(F6),
"",
F6-F9/1000)</f>
        <v/>
      </c>
      <c r="G10" s="11" t="s">
        <v>0</v>
      </c>
      <c r="H10" s="11" t="s">
        <v>0</v>
      </c>
      <c r="I10" s="11" t="s">
        <v>0</v>
      </c>
      <c r="J10" s="11" t="s">
        <v>0</v>
      </c>
      <c r="K10" s="11"/>
      <c r="L10" s="16" t="s">
        <v>0</v>
      </c>
      <c r="M10" s="41" t="s">
        <v>0</v>
      </c>
      <c r="N10" s="42"/>
      <c r="O10" s="42"/>
      <c r="Q10" s="43"/>
      <c r="U10" s="44"/>
      <c r="W10" s="16" t="s">
        <v>24</v>
      </c>
      <c r="X10" s="45" t="str">
        <f>IF(OR(ISBLANK(F10),ISBLANK(P_b)),
"",
F10*25.4)</f>
        <v/>
      </c>
    </row>
    <row r="11" spans="1:31" s="18" customFormat="1" ht="20.100000000000001" customHeight="1" x14ac:dyDescent="0.2">
      <c r="B11" s="46"/>
      <c r="D11" s="44"/>
      <c r="E11" s="47" t="s">
        <v>0</v>
      </c>
      <c r="F11" s="48" t="s">
        <v>0</v>
      </c>
      <c r="G11" s="49" t="s">
        <v>0</v>
      </c>
      <c r="H11" s="18" t="s">
        <v>0</v>
      </c>
      <c r="K11" s="18" t="s">
        <v>0</v>
      </c>
      <c r="Q11" s="50"/>
      <c r="U11" s="44"/>
    </row>
    <row r="12" spans="1:31" ht="20.100000000000001" customHeight="1" thickBot="1" x14ac:dyDescent="0.25">
      <c r="B12" s="51"/>
      <c r="C12" s="201" t="s">
        <v>25</v>
      </c>
      <c r="D12" s="201"/>
      <c r="E12" s="201"/>
      <c r="F12" s="201"/>
      <c r="G12" s="201"/>
      <c r="H12" s="201"/>
      <c r="J12" s="202" t="s">
        <v>112</v>
      </c>
      <c r="K12" s="202"/>
      <c r="L12" s="202"/>
      <c r="M12" s="202"/>
      <c r="N12" s="202"/>
      <c r="O12" s="202"/>
      <c r="Q12" s="52"/>
      <c r="R12" s="52"/>
    </row>
    <row r="13" spans="1:31" ht="20.100000000000001" customHeight="1" x14ac:dyDescent="0.25">
      <c r="B13" s="203" t="s">
        <v>26</v>
      </c>
      <c r="C13" s="205" t="s">
        <v>27</v>
      </c>
      <c r="D13" s="207" t="s">
        <v>28</v>
      </c>
      <c r="E13" s="207"/>
      <c r="F13" s="208"/>
      <c r="G13" s="209" t="s">
        <v>29</v>
      </c>
      <c r="H13" s="210"/>
      <c r="I13" s="53"/>
      <c r="J13" s="211" t="s">
        <v>30</v>
      </c>
      <c r="K13" s="213" t="s">
        <v>31</v>
      </c>
      <c r="L13" s="207"/>
      <c r="M13" s="208"/>
      <c r="N13" s="209" t="s">
        <v>32</v>
      </c>
      <c r="O13" s="210"/>
      <c r="Q13" s="183" t="s">
        <v>33</v>
      </c>
      <c r="R13" s="184"/>
      <c r="S13"/>
      <c r="T13"/>
      <c r="U13"/>
      <c r="V13"/>
      <c r="W13"/>
      <c r="X13"/>
      <c r="Y13"/>
      <c r="Z13"/>
      <c r="AA13"/>
      <c r="AB13"/>
      <c r="AC13"/>
      <c r="AD13"/>
      <c r="AE13"/>
    </row>
    <row r="14" spans="1:31" ht="20.100000000000001" customHeight="1" x14ac:dyDescent="0.25">
      <c r="B14" s="204"/>
      <c r="C14" s="206"/>
      <c r="D14" s="54" t="s">
        <v>34</v>
      </c>
      <c r="E14" s="55" t="s">
        <v>35</v>
      </c>
      <c r="F14" s="56" t="s">
        <v>36</v>
      </c>
      <c r="G14" s="57" t="s">
        <v>34</v>
      </c>
      <c r="H14" s="58" t="s">
        <v>35</v>
      </c>
      <c r="I14" s="53"/>
      <c r="J14" s="212"/>
      <c r="K14" s="54" t="s">
        <v>34</v>
      </c>
      <c r="L14" s="59" t="s">
        <v>35</v>
      </c>
      <c r="M14" s="60" t="s">
        <v>36</v>
      </c>
      <c r="N14" s="54" t="s">
        <v>34</v>
      </c>
      <c r="O14" s="55" t="s">
        <v>35</v>
      </c>
      <c r="Q14" s="61" t="e">
        <f>1.02*H$34</f>
        <v>#VALUE!</v>
      </c>
      <c r="R14" s="62" t="e">
        <f>0.98*H$34</f>
        <v>#VALUE!</v>
      </c>
      <c r="S14"/>
      <c r="T14"/>
      <c r="U14"/>
      <c r="V14"/>
      <c r="W14"/>
      <c r="X14"/>
      <c r="Y14"/>
      <c r="Z14"/>
      <c r="AA14"/>
      <c r="AB14"/>
      <c r="AC14"/>
      <c r="AD14"/>
      <c r="AE14"/>
    </row>
    <row r="15" spans="1:31" ht="20.100000000000001" customHeight="1" x14ac:dyDescent="0.25">
      <c r="B15" s="63" t="s">
        <v>37</v>
      </c>
      <c r="C15" s="64" t="s">
        <v>38</v>
      </c>
      <c r="D15" s="65" t="s">
        <v>39</v>
      </c>
      <c r="E15" s="66" t="s">
        <v>40</v>
      </c>
      <c r="F15" s="67" t="s">
        <v>41</v>
      </c>
      <c r="G15" s="68" t="s">
        <v>42</v>
      </c>
      <c r="H15" s="69" t="s">
        <v>43</v>
      </c>
      <c r="I15" s="70"/>
      <c r="J15" s="64" t="s">
        <v>44</v>
      </c>
      <c r="K15" s="71" t="s">
        <v>45</v>
      </c>
      <c r="L15" s="72" t="s">
        <v>46</v>
      </c>
      <c r="M15" s="67" t="s">
        <v>47</v>
      </c>
      <c r="N15" s="65" t="s">
        <v>48</v>
      </c>
      <c r="O15" s="73" t="s">
        <v>49</v>
      </c>
      <c r="Q15" s="74" t="e">
        <f t="shared" ref="Q15:Q18" si="0">1.02*H$34</f>
        <v>#VALUE!</v>
      </c>
      <c r="R15" s="75" t="e">
        <f t="shared" ref="R15:R18" si="1">0.98*H$34</f>
        <v>#VALUE!</v>
      </c>
      <c r="S15"/>
      <c r="T15"/>
      <c r="U15"/>
      <c r="V15"/>
      <c r="W15"/>
      <c r="X15"/>
      <c r="Y15"/>
      <c r="Z15"/>
      <c r="AA15"/>
      <c r="AB15"/>
      <c r="AC15"/>
      <c r="AD15"/>
      <c r="AE15"/>
    </row>
    <row r="16" spans="1:31" ht="20.100000000000001" customHeight="1" x14ac:dyDescent="0.25">
      <c r="B16" s="76"/>
      <c r="C16" s="77">
        <v>120</v>
      </c>
      <c r="D16" s="78">
        <v>0</v>
      </c>
      <c r="E16" s="79"/>
      <c r="F16" s="80"/>
      <c r="G16" s="81"/>
      <c r="H16" s="82"/>
      <c r="I16" s="53"/>
      <c r="J16" s="83">
        <v>747.99</v>
      </c>
      <c r="K16" s="84">
        <v>0</v>
      </c>
      <c r="L16" s="85">
        <v>1.95</v>
      </c>
      <c r="M16" s="86">
        <v>1.95</v>
      </c>
      <c r="N16" s="87"/>
      <c r="O16" s="88"/>
      <c r="Q16" s="74" t="e">
        <f t="shared" si="0"/>
        <v>#VALUE!</v>
      </c>
      <c r="R16" s="75" t="e">
        <f t="shared" si="1"/>
        <v>#VALUE!</v>
      </c>
      <c r="S16"/>
      <c r="T16"/>
      <c r="U16"/>
      <c r="V16"/>
      <c r="W16"/>
      <c r="X16"/>
      <c r="Y16"/>
      <c r="Z16"/>
      <c r="AA16"/>
      <c r="AB16"/>
      <c r="AC16"/>
      <c r="AD16"/>
      <c r="AE16"/>
    </row>
    <row r="17" spans="2:32" ht="20.100000000000001" customHeight="1" x14ac:dyDescent="0.25">
      <c r="B17" s="76"/>
      <c r="C17" s="77">
        <v>80</v>
      </c>
      <c r="D17" s="89">
        <v>0</v>
      </c>
      <c r="E17" s="90"/>
      <c r="F17" s="80"/>
      <c r="G17" s="81"/>
      <c r="H17" s="82"/>
      <c r="I17" s="53"/>
      <c r="J17" s="83">
        <v>748.11</v>
      </c>
      <c r="K17" s="91">
        <v>0</v>
      </c>
      <c r="L17" s="92">
        <v>1.96</v>
      </c>
      <c r="M17" s="86">
        <v>1.96</v>
      </c>
      <c r="N17" s="81"/>
      <c r="O17" s="88"/>
      <c r="Q17" s="74" t="e">
        <f t="shared" si="0"/>
        <v>#VALUE!</v>
      </c>
      <c r="R17" s="75" t="e">
        <f t="shared" si="1"/>
        <v>#VALUE!</v>
      </c>
      <c r="S17"/>
      <c r="T17"/>
      <c r="U17"/>
      <c r="V17"/>
      <c r="W17"/>
      <c r="X17"/>
      <c r="Y17"/>
      <c r="Z17"/>
      <c r="AA17"/>
      <c r="AB17"/>
      <c r="AC17"/>
      <c r="AD17"/>
      <c r="AE17"/>
    </row>
    <row r="18" spans="2:32" ht="20.100000000000001" customHeight="1" x14ac:dyDescent="0.25">
      <c r="B18" s="76"/>
      <c r="C18" s="77">
        <v>50</v>
      </c>
      <c r="D18" s="89">
        <v>0</v>
      </c>
      <c r="E18" s="90"/>
      <c r="F18" s="80" t="str">
        <f>IF(OR(ISBLANK(D18), ISBLANK(E18), ISTEXT(D18), ISTEXT(E18)),
"",
E18-D18)</f>
        <v/>
      </c>
      <c r="G18" s="81"/>
      <c r="H18" s="82"/>
      <c r="I18" s="53"/>
      <c r="J18" s="83">
        <v>-7</v>
      </c>
      <c r="K18" s="91">
        <v>0</v>
      </c>
      <c r="L18" s="92">
        <v>25</v>
      </c>
      <c r="M18" s="86">
        <f>IF(OR(ISBLANK(K18), ISBLANK(L18), ISTEXT(K18), ISTEXT(L18)),
"",
L18-K18)</f>
        <v>25</v>
      </c>
      <c r="N18" s="81"/>
      <c r="O18" s="88"/>
      <c r="Q18" s="93" t="e">
        <f t="shared" si="0"/>
        <v>#VALUE!</v>
      </c>
      <c r="R18" s="94" t="e">
        <f t="shared" si="1"/>
        <v>#VALUE!</v>
      </c>
      <c r="S18"/>
      <c r="T18"/>
      <c r="U18"/>
      <c r="V18"/>
      <c r="W18"/>
      <c r="X18"/>
      <c r="Y18"/>
      <c r="Z18"/>
      <c r="AA18"/>
      <c r="AB18"/>
      <c r="AC18"/>
      <c r="AD18"/>
      <c r="AE18"/>
      <c r="AF18"/>
    </row>
    <row r="19" spans="2:32" ht="20.100000000000001" customHeight="1" x14ac:dyDescent="0.25">
      <c r="B19" s="76"/>
      <c r="C19" s="77">
        <v>25</v>
      </c>
      <c r="D19" s="89">
        <v>0</v>
      </c>
      <c r="E19" s="90"/>
      <c r="F19" s="80" t="str">
        <f>IF(OR(ISBLANK(D19), ISBLANK(E19), ISTEXT(D19), ISTEXT(E19)),
"",
E19-D19)</f>
        <v/>
      </c>
      <c r="G19" s="81"/>
      <c r="H19" s="82"/>
      <c r="I19" s="53"/>
      <c r="J19" s="83">
        <v>-4</v>
      </c>
      <c r="K19" s="91">
        <v>0</v>
      </c>
      <c r="L19" s="92">
        <v>25</v>
      </c>
      <c r="M19" s="86">
        <f>IF(OR(ISBLANK(K19), ISBLANK(L19), ISTEXT(K19), ISTEXT(L19)),
"",
L19-K19)</f>
        <v>25</v>
      </c>
      <c r="N19" s="81"/>
      <c r="O19" s="88"/>
      <c r="Q19"/>
      <c r="R19"/>
      <c r="S19"/>
      <c r="T19"/>
      <c r="U19"/>
      <c r="V19"/>
      <c r="W19"/>
      <c r="X19"/>
      <c r="Y19"/>
      <c r="Z19"/>
      <c r="AA19"/>
      <c r="AB19"/>
      <c r="AC19"/>
      <c r="AD19"/>
      <c r="AE19"/>
      <c r="AF19"/>
    </row>
    <row r="20" spans="2:32" ht="20.100000000000001" customHeight="1" x14ac:dyDescent="0.25">
      <c r="B20" s="76"/>
      <c r="C20" s="77">
        <v>13</v>
      </c>
      <c r="D20" s="89">
        <v>0</v>
      </c>
      <c r="E20" s="90"/>
      <c r="F20" s="80" t="str">
        <f>IF(OR(ISBLANK(D20), ISBLANK(E20), ISTEXT(D20), ISTEXT(E20)),
"",
E20-D20)</f>
        <v/>
      </c>
      <c r="G20" s="81"/>
      <c r="H20" s="82"/>
      <c r="I20" s="53"/>
      <c r="J20" s="83">
        <v>-2</v>
      </c>
      <c r="K20" s="91">
        <v>0</v>
      </c>
      <c r="L20" s="92">
        <v>25</v>
      </c>
      <c r="M20" s="86">
        <f>IF(OR(ISBLANK(K20), ISBLANK(L20), ISTEXT(K20), ISTEXT(L20)),
"",
L20-K20)</f>
        <v>25</v>
      </c>
      <c r="N20" s="81"/>
      <c r="O20" s="88"/>
      <c r="Q20"/>
      <c r="R20"/>
      <c r="S20"/>
      <c r="T20"/>
      <c r="U20"/>
      <c r="V20"/>
      <c r="W20"/>
      <c r="X20"/>
      <c r="Y20"/>
      <c r="Z20"/>
      <c r="AA20"/>
      <c r="AB20"/>
      <c r="AC20"/>
      <c r="AD20"/>
      <c r="AE20"/>
      <c r="AF20"/>
    </row>
    <row r="21" spans="2:32" ht="20.100000000000001" customHeight="1" x14ac:dyDescent="0.25">
      <c r="B21" s="76"/>
      <c r="C21" s="77">
        <v>13</v>
      </c>
      <c r="D21" s="89">
        <v>0</v>
      </c>
      <c r="E21" s="90"/>
      <c r="F21" s="80" t="str">
        <f>IF(OR(ISBLANK(D21), ISBLANK(E21), ISTEXT(D21), ISTEXT(E21)),
"",
E21-D21)</f>
        <v/>
      </c>
      <c r="G21" s="81"/>
      <c r="H21" s="82"/>
      <c r="I21" s="53"/>
      <c r="J21" s="83">
        <v>-2</v>
      </c>
      <c r="K21" s="91">
        <v>0</v>
      </c>
      <c r="L21" s="92">
        <v>25</v>
      </c>
      <c r="M21" s="86">
        <f>IF(OR(ISBLANK(K21), ISBLANK(L21), ISTEXT(K21), ISTEXT(L21)),
"",
L21-K21)</f>
        <v>25</v>
      </c>
      <c r="N21" s="81"/>
      <c r="O21" s="88"/>
      <c r="Q21"/>
      <c r="R21"/>
      <c r="S21"/>
      <c r="T21"/>
      <c r="U21"/>
      <c r="V21"/>
      <c r="W21"/>
      <c r="X21"/>
      <c r="Y21"/>
      <c r="Z21"/>
      <c r="AA21"/>
      <c r="AB21"/>
      <c r="AC21"/>
      <c r="AD21"/>
      <c r="AE21"/>
      <c r="AF21"/>
    </row>
    <row r="22" spans="2:32" ht="20.100000000000001" customHeight="1" x14ac:dyDescent="0.25">
      <c r="C22" s="95"/>
      <c r="D22" s="95"/>
      <c r="Q22"/>
      <c r="R22"/>
      <c r="S22"/>
      <c r="T22"/>
      <c r="U22"/>
      <c r="V22"/>
      <c r="W22"/>
      <c r="X22"/>
      <c r="Y22"/>
      <c r="Z22"/>
      <c r="AA22"/>
      <c r="AB22"/>
      <c r="AC22"/>
      <c r="AD22"/>
      <c r="AE22"/>
      <c r="AF22"/>
    </row>
    <row r="23" spans="2:32" ht="19.5" customHeight="1" thickBot="1" x14ac:dyDescent="0.3">
      <c r="B23" s="185" t="s">
        <v>50</v>
      </c>
      <c r="C23" s="185"/>
      <c r="D23" s="185"/>
      <c r="E23" s="186" t="s">
        <v>51</v>
      </c>
      <c r="F23" s="186"/>
      <c r="G23" s="186"/>
      <c r="H23" s="186" t="s">
        <v>52</v>
      </c>
      <c r="I23" s="186"/>
      <c r="J23" s="186"/>
      <c r="K23" s="186"/>
      <c r="L23" s="186"/>
      <c r="M23" s="96"/>
      <c r="N23" s="96"/>
      <c r="Q23"/>
      <c r="R23"/>
      <c r="S23"/>
      <c r="T23"/>
      <c r="U23"/>
      <c r="V23"/>
      <c r="W23"/>
      <c r="X23"/>
      <c r="Y23"/>
      <c r="Z23"/>
      <c r="AA23"/>
      <c r="AB23"/>
      <c r="AC23"/>
      <c r="AD23"/>
      <c r="AE23"/>
      <c r="AF23"/>
    </row>
    <row r="24" spans="2:32" ht="19.5" customHeight="1" x14ac:dyDescent="0.25">
      <c r="B24" s="187" t="s">
        <v>53</v>
      </c>
      <c r="C24" s="188"/>
      <c r="D24" s="97" t="s">
        <v>54</v>
      </c>
      <c r="E24" s="189" t="s">
        <v>55</v>
      </c>
      <c r="F24" s="190"/>
      <c r="G24" s="191"/>
      <c r="H24" s="192" t="s">
        <v>56</v>
      </c>
      <c r="I24" s="193"/>
      <c r="J24" s="194"/>
      <c r="K24" s="195" t="s">
        <v>57</v>
      </c>
      <c r="L24" s="196"/>
      <c r="M24" s="197" t="s">
        <v>58</v>
      </c>
      <c r="N24" s="198"/>
      <c r="O24" s="198"/>
      <c r="Q24"/>
      <c r="R24"/>
      <c r="S24"/>
      <c r="T24"/>
      <c r="U24"/>
      <c r="V24"/>
      <c r="W24"/>
      <c r="X24"/>
      <c r="Y24"/>
      <c r="Z24"/>
      <c r="AA24"/>
      <c r="AB24"/>
      <c r="AC24"/>
      <c r="AD24"/>
      <c r="AE24"/>
      <c r="AF24"/>
    </row>
    <row r="25" spans="2:32" ht="19.5" customHeight="1" x14ac:dyDescent="0.25">
      <c r="B25" s="98" t="s">
        <v>59</v>
      </c>
      <c r="C25" s="99" t="s">
        <v>60</v>
      </c>
      <c r="D25" s="100" t="s">
        <v>61</v>
      </c>
      <c r="E25" s="101" t="s">
        <v>62</v>
      </c>
      <c r="F25" s="58" t="s">
        <v>63</v>
      </c>
      <c r="G25" s="58" t="s">
        <v>64</v>
      </c>
      <c r="H25" s="102" t="s">
        <v>65</v>
      </c>
      <c r="I25" s="199" t="s">
        <v>66</v>
      </c>
      <c r="J25" s="200"/>
      <c r="K25" s="103" t="s">
        <v>67</v>
      </c>
      <c r="L25" s="55" t="s">
        <v>68</v>
      </c>
      <c r="M25" s="197"/>
      <c r="N25" s="198"/>
      <c r="O25" s="198"/>
      <c r="Q25"/>
      <c r="R25"/>
      <c r="S25"/>
      <c r="T25"/>
      <c r="U25"/>
      <c r="V25"/>
      <c r="W25"/>
      <c r="X25"/>
      <c r="Y25"/>
      <c r="Z25"/>
      <c r="AA25"/>
      <c r="AB25"/>
      <c r="AC25"/>
      <c r="AD25"/>
      <c r="AE25"/>
      <c r="AF25"/>
    </row>
    <row r="26" spans="2:32" ht="19.5" customHeight="1" x14ac:dyDescent="0.35">
      <c r="B26" s="104" t="s">
        <v>69</v>
      </c>
      <c r="C26" s="105" t="s">
        <v>70</v>
      </c>
      <c r="D26" s="106" t="s">
        <v>71</v>
      </c>
      <c r="E26" s="107" t="s">
        <v>72</v>
      </c>
      <c r="F26" s="104" t="s">
        <v>73</v>
      </c>
      <c r="G26" s="104" t="s">
        <v>74</v>
      </c>
      <c r="H26" s="107" t="s">
        <v>75</v>
      </c>
      <c r="I26" s="170" t="s">
        <v>76</v>
      </c>
      <c r="J26" s="171"/>
      <c r="K26" s="107" t="s">
        <v>77</v>
      </c>
      <c r="L26" s="107" t="s">
        <v>78</v>
      </c>
      <c r="M26" s="172" t="s">
        <v>79</v>
      </c>
      <c r="N26" s="173"/>
      <c r="O26" s="173"/>
      <c r="Q26"/>
      <c r="R26" s="108" t="s">
        <v>0</v>
      </c>
      <c r="S26"/>
      <c r="T26"/>
      <c r="U26"/>
      <c r="V26"/>
      <c r="W26"/>
      <c r="X26"/>
      <c r="Y26"/>
      <c r="Z26"/>
      <c r="AA26"/>
      <c r="AB26"/>
      <c r="AC26"/>
      <c r="AD26"/>
      <c r="AE26"/>
      <c r="AF26"/>
    </row>
    <row r="27" spans="2:32" ht="19.5" hidden="1" customHeight="1" x14ac:dyDescent="0.25">
      <c r="B27" s="109"/>
      <c r="D27" s="110"/>
      <c r="F27" s="111"/>
      <c r="G27" s="111"/>
      <c r="H27" s="112"/>
      <c r="I27" s="113"/>
      <c r="K27" s="114"/>
      <c r="L27" s="115"/>
      <c r="M27" s="172"/>
      <c r="N27" s="173"/>
      <c r="O27" s="173"/>
      <c r="Q27"/>
      <c r="R27"/>
      <c r="S27"/>
      <c r="T27"/>
      <c r="U27"/>
      <c r="V27"/>
      <c r="W27"/>
      <c r="X27"/>
      <c r="Y27"/>
      <c r="Z27"/>
      <c r="AA27"/>
      <c r="AB27"/>
      <c r="AC27"/>
      <c r="AD27"/>
      <c r="AE27"/>
      <c r="AF27"/>
    </row>
    <row r="28" spans="2:32" ht="20.100000000000001" customHeight="1" x14ac:dyDescent="0.25">
      <c r="B28" s="116" t="str">
        <f t="shared" ref="B28:B33" si="2">IF(OR(ISTEXT(Gamma),ISTEXT(K_1),ISTEXT(V_w),ISTEXT(P_w),ISTEXT(t_w),ISTEXT($X$10)),
"",
Gamma*K_1*((V_w*($X$10+((P_w)/13.6)))/(t_w+273.15)))</f>
        <v/>
      </c>
      <c r="C28" s="117" t="str">
        <f t="shared" ref="C28:C33" si="3">IF(OR(ISBLANK(Vw_std), ISBLANK(runtime), ISTEXT(Vw_std), ISTEXT(runtime)),
"",
(Vw_std/(runtime/60)))</f>
        <v/>
      </c>
      <c r="D28" s="118" t="str">
        <f t="shared" ref="D28:D33" si="4">IF(OR(ISTEXT(K_1),ISTEXT(P_Count),ISTEXT(P_b),ISTEXT(P_m),ISBLANK(K_1),ISBLANK(P_Count),ISBLANK(P_b),ISBLANK(P_m)),
"",
K_1*(P_Count)*((($X$10+(P_m/13.6))/(t_m+273.15))))</f>
        <v/>
      </c>
      <c r="E28" s="119" t="str">
        <f t="shared" ref="E28:E33" si="5">IF(OR(ISBLANK(counts_std),ISBLANK(Vw_std),ISTEXT(counts_std),ISTEXT(Vw_std)),
"",
Vw_std/counts_std)</f>
        <v/>
      </c>
      <c r="F28" s="120" t="str">
        <f>IF(OR(ISTEXT(counts_std), ISBLANK(counts_std)),
"",
counts_std*(counts_ave))</f>
        <v/>
      </c>
      <c r="G28" s="116" t="str">
        <f t="shared" ref="G28:G33" si="6">IF(OR(ISTEXT(F28), ISBLANK(B16)),
"",
F28/(B16/60))</f>
        <v/>
      </c>
      <c r="H28" s="121" t="str">
        <f t="shared" ref="H28:H33" si="7">IF(OR(ISBLANK(Vm_std),ISBLANK(Vw_std),ISTEXT(Vm_std),ISTEXT(Vw_std)),
"",
Vw_std/Vm_std)</f>
        <v/>
      </c>
      <c r="I28" s="174" t="str">
        <f t="shared" ref="I28:I33" si="8">IF(OR(ISBLANK(H28), ISBLANK($H$34), ISTEXT(H28), ISTEXT($H$34)),
"",
H28-$H$34)</f>
        <v/>
      </c>
      <c r="J28" s="175"/>
      <c r="K28" s="120" t="str">
        <f t="shared" ref="K28:K33" si="9">IF(OR(ISBLANK(P_m),ISBLANK(P_b),ISBLANK(runtime),ISTEXT(V_w)),
"",
(((0.0011696*P_m)*($X$10+(P_m/13.6)))/(((t_m+273.15))))*(((t_w+273.15)*runtime/60)/((V_w/1000)*($X$10)))^2)</f>
        <v/>
      </c>
      <c r="L28" s="116" t="str">
        <f t="shared" ref="L28:L33" si="10">IF(OR(ISBLANK(K28), ISBLANK($K$34), ISTEXT(K28), ISTEXT($K$34)),
"",
K28-$K$34)</f>
        <v/>
      </c>
      <c r="M28" s="172"/>
      <c r="N28" s="173"/>
      <c r="O28" s="173"/>
      <c r="Q28"/>
      <c r="R28"/>
      <c r="S28"/>
      <c r="T28"/>
      <c r="U28"/>
      <c r="V28"/>
      <c r="W28"/>
      <c r="X28"/>
      <c r="Y28"/>
      <c r="Z28"/>
      <c r="AA28"/>
      <c r="AB28"/>
      <c r="AC28"/>
      <c r="AD28"/>
      <c r="AE28"/>
      <c r="AF28"/>
    </row>
    <row r="29" spans="2:32" ht="20.100000000000001" customHeight="1" x14ac:dyDescent="0.25">
      <c r="B29" s="116" t="str">
        <f t="shared" si="2"/>
        <v/>
      </c>
      <c r="C29" s="117" t="str">
        <f t="shared" si="3"/>
        <v/>
      </c>
      <c r="D29" s="118" t="str">
        <f t="shared" si="4"/>
        <v/>
      </c>
      <c r="E29" s="119" t="str">
        <f t="shared" si="5"/>
        <v/>
      </c>
      <c r="F29" s="120" t="str">
        <f>IF(OR(ISTEXT(counts_std), ISBLANK(counts_std)),
"",
counts_std*(counts_ave))</f>
        <v/>
      </c>
      <c r="G29" s="116" t="str">
        <f t="shared" si="6"/>
        <v/>
      </c>
      <c r="H29" s="121" t="str">
        <f t="shared" si="7"/>
        <v/>
      </c>
      <c r="I29" s="174" t="str">
        <f t="shared" si="8"/>
        <v/>
      </c>
      <c r="J29" s="175"/>
      <c r="K29" s="120" t="str">
        <f t="shared" si="9"/>
        <v/>
      </c>
      <c r="L29" s="116" t="str">
        <f t="shared" si="10"/>
        <v/>
      </c>
      <c r="M29" s="172"/>
      <c r="N29" s="173"/>
      <c r="O29" s="173"/>
      <c r="Q29"/>
      <c r="R29"/>
      <c r="S29"/>
      <c r="T29"/>
      <c r="U29"/>
      <c r="V29"/>
      <c r="W29"/>
      <c r="X29"/>
      <c r="Y29"/>
      <c r="Z29"/>
      <c r="AA29"/>
      <c r="AB29"/>
      <c r="AC29"/>
      <c r="AD29"/>
      <c r="AE29"/>
      <c r="AF29"/>
    </row>
    <row r="30" spans="2:32" ht="20.100000000000001" customHeight="1" thickBot="1" x14ac:dyDescent="0.3">
      <c r="B30" s="116" t="str">
        <f t="shared" si="2"/>
        <v/>
      </c>
      <c r="C30" s="117" t="str">
        <f t="shared" si="3"/>
        <v/>
      </c>
      <c r="D30" s="118" t="str">
        <f t="shared" si="4"/>
        <v/>
      </c>
      <c r="E30" s="119" t="str">
        <f t="shared" si="5"/>
        <v/>
      </c>
      <c r="F30" s="120" t="str">
        <f>IF(OR(ISTEXT(counts_std), ISBLANK(counts_std)),
"",
counts_std*(counts_ave))</f>
        <v/>
      </c>
      <c r="G30" s="116" t="str">
        <f t="shared" si="6"/>
        <v/>
      </c>
      <c r="H30" s="121" t="str">
        <f t="shared" si="7"/>
        <v/>
      </c>
      <c r="I30" s="174" t="str">
        <f t="shared" si="8"/>
        <v/>
      </c>
      <c r="J30" s="175"/>
      <c r="K30" s="120" t="str">
        <f t="shared" si="9"/>
        <v/>
      </c>
      <c r="L30" s="116" t="str">
        <f t="shared" si="10"/>
        <v/>
      </c>
      <c r="Q30"/>
      <c r="R30"/>
      <c r="S30"/>
      <c r="T30"/>
      <c r="U30"/>
      <c r="V30"/>
      <c r="W30"/>
      <c r="X30"/>
      <c r="Y30"/>
      <c r="Z30"/>
      <c r="AA30"/>
      <c r="AB30"/>
      <c r="AC30"/>
      <c r="AD30"/>
      <c r="AE30"/>
      <c r="AF30"/>
    </row>
    <row r="31" spans="2:32" ht="20.100000000000001" customHeight="1" thickBot="1" x14ac:dyDescent="0.3">
      <c r="B31" s="116" t="str">
        <f t="shared" si="2"/>
        <v/>
      </c>
      <c r="C31" s="117" t="str">
        <f t="shared" si="3"/>
        <v/>
      </c>
      <c r="D31" s="118" t="str">
        <f t="shared" si="4"/>
        <v/>
      </c>
      <c r="E31" s="119" t="str">
        <f t="shared" si="5"/>
        <v/>
      </c>
      <c r="F31" s="120" t="str">
        <f>IF(OR(ISTEXT(counts_std), ISBLANK(counts_std)),
"",
counts_std*(counts_ave))</f>
        <v/>
      </c>
      <c r="G31" s="116" t="str">
        <f t="shared" si="6"/>
        <v/>
      </c>
      <c r="H31" s="121" t="str">
        <f t="shared" si="7"/>
        <v/>
      </c>
      <c r="I31" s="174" t="str">
        <f t="shared" si="8"/>
        <v/>
      </c>
      <c r="J31" s="175"/>
      <c r="K31" s="120" t="str">
        <f t="shared" si="9"/>
        <v/>
      </c>
      <c r="L31" s="116" t="str">
        <f t="shared" si="10"/>
        <v/>
      </c>
      <c r="M31" s="176" t="s">
        <v>80</v>
      </c>
      <c r="N31" s="177"/>
      <c r="O31" s="122"/>
      <c r="Q31"/>
      <c r="R31"/>
      <c r="S31"/>
      <c r="T31"/>
      <c r="U31"/>
      <c r="V31"/>
      <c r="W31"/>
      <c r="X31"/>
      <c r="Y31"/>
      <c r="Z31"/>
      <c r="AA31"/>
      <c r="AB31"/>
      <c r="AC31"/>
      <c r="AD31"/>
      <c r="AE31"/>
      <c r="AF31"/>
    </row>
    <row r="32" spans="2:32" ht="20.100000000000001" customHeight="1" x14ac:dyDescent="0.25">
      <c r="B32" s="116" t="str">
        <f t="shared" si="2"/>
        <v/>
      </c>
      <c r="C32" s="117" t="str">
        <f t="shared" si="3"/>
        <v/>
      </c>
      <c r="D32" s="118" t="str">
        <f t="shared" si="4"/>
        <v/>
      </c>
      <c r="E32" s="123" t="str">
        <f t="shared" si="5"/>
        <v/>
      </c>
      <c r="F32" s="120" t="str">
        <f>IF(OR(ISTEXT(counts_std), ISBLANK(counts_std)),
"",
counts_std*(counts_ave))</f>
        <v/>
      </c>
      <c r="G32" s="116" t="str">
        <f t="shared" si="6"/>
        <v/>
      </c>
      <c r="H32" s="124" t="str">
        <f t="shared" si="7"/>
        <v/>
      </c>
      <c r="I32" s="174" t="str">
        <f t="shared" si="8"/>
        <v/>
      </c>
      <c r="J32" s="175"/>
      <c r="K32" s="120" t="str">
        <f t="shared" si="9"/>
        <v/>
      </c>
      <c r="L32" s="116" t="str">
        <f t="shared" si="10"/>
        <v/>
      </c>
      <c r="M32"/>
      <c r="N32"/>
      <c r="Q32"/>
      <c r="R32"/>
      <c r="S32"/>
      <c r="T32"/>
      <c r="U32"/>
      <c r="V32"/>
      <c r="W32"/>
      <c r="X32"/>
      <c r="Y32"/>
      <c r="Z32"/>
      <c r="AA32"/>
      <c r="AB32"/>
      <c r="AC32"/>
      <c r="AD32"/>
      <c r="AE32"/>
      <c r="AF32"/>
    </row>
    <row r="33" spans="2:32" ht="20.100000000000001" customHeight="1" thickBot="1" x14ac:dyDescent="0.3">
      <c r="B33" s="116" t="str">
        <f t="shared" si="2"/>
        <v/>
      </c>
      <c r="C33" s="117" t="str">
        <f t="shared" si="3"/>
        <v/>
      </c>
      <c r="D33" s="118" t="str">
        <f t="shared" si="4"/>
        <v/>
      </c>
      <c r="E33" s="123" t="str">
        <f t="shared" si="5"/>
        <v/>
      </c>
      <c r="F33" s="120" t="str">
        <f>IF(OR(ISTEXT(counts_std), ISBLANK(counts_std)),
"",
counts_std*(counts_ave))</f>
        <v/>
      </c>
      <c r="G33" s="116" t="str">
        <f t="shared" si="6"/>
        <v/>
      </c>
      <c r="H33" s="124" t="str">
        <f t="shared" si="7"/>
        <v/>
      </c>
      <c r="I33" s="174" t="str">
        <f t="shared" si="8"/>
        <v/>
      </c>
      <c r="J33" s="175"/>
      <c r="K33" s="120" t="str">
        <f t="shared" si="9"/>
        <v/>
      </c>
      <c r="L33" s="116" t="str">
        <f t="shared" si="10"/>
        <v/>
      </c>
      <c r="M33"/>
      <c r="N33"/>
      <c r="Q33"/>
      <c r="R33"/>
      <c r="S33"/>
      <c r="T33"/>
      <c r="U33"/>
      <c r="V33"/>
      <c r="W33"/>
      <c r="X33"/>
      <c r="Y33"/>
      <c r="Z33"/>
      <c r="AA33"/>
      <c r="AB33"/>
      <c r="AC33"/>
      <c r="AD33"/>
      <c r="AE33"/>
      <c r="AF33"/>
    </row>
    <row r="34" spans="2:32" ht="20.100000000000001" customHeight="1" thickBot="1" x14ac:dyDescent="0.3">
      <c r="B34" s="125"/>
      <c r="C34" s="125"/>
      <c r="D34" s="125"/>
      <c r="E34" s="126" t="str">
        <f>IF(OR(ISBLANK(E28),ISTEXT(E28)),
"",
SUM(E28:E32)/COUNT(E28:E32))</f>
        <v/>
      </c>
      <c r="F34" s="127" t="s">
        <v>81</v>
      </c>
      <c r="G34" s="128"/>
      <c r="H34" s="129" t="str">
        <f>IF(OR(ISBLANK(H28),ISTEXT(H28)),
"",
SUM(H28:H32)/COUNT(H28:H32))</f>
        <v/>
      </c>
      <c r="I34" s="130" t="s">
        <v>82</v>
      </c>
      <c r="K34" s="131" t="str">
        <f>IF(OR(ISBLANK(K28),ISTEXT(K28)),
"",
SUM(K28:K32)/COUNT(K28:K32))</f>
        <v/>
      </c>
      <c r="L34" s="130" t="s">
        <v>83</v>
      </c>
      <c r="M34" s="178" t="s">
        <v>84</v>
      </c>
      <c r="N34" s="179"/>
      <c r="O34" s="132" t="str">
        <f>IF(OR(ISBLANK(E34), ISTEXT(E34)),
" ",
E34*10^(3))</f>
        <v xml:space="preserve"> </v>
      </c>
      <c r="Q34"/>
      <c r="R34"/>
      <c r="S34"/>
      <c r="T34"/>
      <c r="U34"/>
      <c r="V34"/>
      <c r="W34"/>
      <c r="X34"/>
      <c r="Y34"/>
      <c r="Z34"/>
      <c r="AA34"/>
      <c r="AB34"/>
      <c r="AC34"/>
      <c r="AD34"/>
      <c r="AE34"/>
      <c r="AF34"/>
    </row>
    <row r="35" spans="2:32" ht="20.100000000000001" customHeight="1" thickBot="1" x14ac:dyDescent="0.3">
      <c r="B35" s="125"/>
      <c r="C35" s="125"/>
      <c r="D35" s="125"/>
      <c r="K35" s="133" t="s">
        <v>85</v>
      </c>
      <c r="M35" s="178" t="s">
        <v>120</v>
      </c>
      <c r="N35" s="179"/>
      <c r="O35" s="122"/>
      <c r="Q35"/>
      <c r="R35"/>
      <c r="S35"/>
      <c r="T35"/>
      <c r="U35"/>
      <c r="V35"/>
      <c r="W35"/>
      <c r="X35"/>
      <c r="Y35"/>
      <c r="Z35"/>
      <c r="AA35"/>
      <c r="AB35"/>
      <c r="AC35"/>
      <c r="AD35"/>
      <c r="AE35"/>
      <c r="AF35"/>
    </row>
    <row r="36" spans="2:32" ht="20.100000000000001" customHeight="1" x14ac:dyDescent="0.25">
      <c r="B36" s="125"/>
      <c r="C36" s="125"/>
      <c r="D36" s="125"/>
      <c r="Q36"/>
      <c r="R36"/>
      <c r="S36"/>
      <c r="T36"/>
      <c r="U36"/>
      <c r="V36"/>
      <c r="W36"/>
      <c r="X36"/>
      <c r="Y36"/>
      <c r="Z36"/>
      <c r="AA36"/>
      <c r="AB36"/>
      <c r="AC36"/>
      <c r="AD36"/>
      <c r="AE36"/>
      <c r="AF36"/>
    </row>
    <row r="37" spans="2:32" s="18" customFormat="1" ht="20.100000000000001" customHeight="1" x14ac:dyDescent="0.2">
      <c r="B37" s="134" t="s">
        <v>86</v>
      </c>
      <c r="C37" s="180"/>
      <c r="D37" s="180"/>
      <c r="E37" s="180"/>
      <c r="G37" s="135" t="s">
        <v>87</v>
      </c>
      <c r="H37" s="181"/>
      <c r="I37" s="181"/>
      <c r="J37" s="181"/>
      <c r="K37" s="181"/>
      <c r="M37" s="134" t="s">
        <v>88</v>
      </c>
      <c r="N37" s="182"/>
      <c r="O37" s="182"/>
    </row>
    <row r="38" spans="2:32" s="18" customFormat="1" ht="20.100000000000001" customHeight="1" x14ac:dyDescent="0.2">
      <c r="B38" s="169" t="s">
        <v>89</v>
      </c>
      <c r="C38" s="169"/>
      <c r="D38" s="169"/>
      <c r="E38" s="169"/>
      <c r="F38" s="169"/>
      <c r="G38" s="169"/>
      <c r="H38" s="169"/>
      <c r="I38" s="169"/>
      <c r="J38" s="169"/>
      <c r="K38" s="169"/>
      <c r="L38" s="169"/>
      <c r="M38" s="169"/>
      <c r="N38" s="169"/>
      <c r="O38" s="169"/>
    </row>
    <row r="39" spans="2:32" s="18" customFormat="1" ht="20.100000000000001" customHeight="1" thickBot="1" x14ac:dyDescent="0.25">
      <c r="B39" s="136"/>
      <c r="C39" s="136"/>
      <c r="D39" s="136"/>
      <c r="E39" s="136"/>
      <c r="F39" s="136"/>
      <c r="G39" s="136"/>
      <c r="H39" s="136"/>
      <c r="I39" s="136"/>
      <c r="J39" s="136"/>
      <c r="K39" s="136"/>
      <c r="L39" s="136"/>
      <c r="M39" s="136"/>
      <c r="N39" s="136"/>
      <c r="O39" s="137"/>
    </row>
    <row r="40" spans="2:32" s="18" customFormat="1" ht="20.100000000000001" customHeight="1" thickTop="1" thickBot="1" x14ac:dyDescent="0.25">
      <c r="C40" s="163" t="s">
        <v>90</v>
      </c>
      <c r="D40" s="164"/>
      <c r="E40" s="164"/>
      <c r="F40" s="164"/>
      <c r="G40" s="164"/>
      <c r="H40" s="164"/>
      <c r="I40" s="164"/>
      <c r="J40" s="164"/>
      <c r="K40" s="164"/>
      <c r="L40" s="164"/>
      <c r="M40" s="164"/>
      <c r="N40" s="165"/>
      <c r="O40" s="53"/>
    </row>
    <row r="41" spans="2:32" ht="13.5" thickTop="1" x14ac:dyDescent="0.2"/>
    <row r="42" spans="2:32" ht="15" customHeight="1" x14ac:dyDescent="0.2"/>
    <row r="43" spans="2:32" ht="19.5" customHeight="1" x14ac:dyDescent="0.35">
      <c r="B43" s="2" t="s">
        <v>0</v>
      </c>
      <c r="C43" s="2"/>
      <c r="D43" s="2"/>
      <c r="E43" s="166" t="s">
        <v>91</v>
      </c>
      <c r="F43" s="166"/>
      <c r="G43" s="166"/>
      <c r="H43" s="166"/>
      <c r="I43" s="166"/>
      <c r="J43" s="166"/>
      <c r="K43" s="166"/>
      <c r="L43" s="166"/>
      <c r="M43" s="138"/>
      <c r="N43" s="138"/>
      <c r="O43" s="138"/>
    </row>
    <row r="44" spans="2:32" ht="15" customHeight="1" x14ac:dyDescent="0.2">
      <c r="C44" s="139"/>
      <c r="D44" s="139"/>
      <c r="E44" s="167" t="s">
        <v>2</v>
      </c>
      <c r="F44" s="167"/>
      <c r="G44" s="167"/>
      <c r="H44" s="167"/>
      <c r="I44" s="167"/>
      <c r="J44" s="167"/>
      <c r="K44" s="167"/>
      <c r="L44" s="167"/>
      <c r="M44" s="139"/>
      <c r="N44" s="139"/>
      <c r="O44" s="139"/>
    </row>
    <row r="45" spans="2:32" ht="15" customHeight="1" x14ac:dyDescent="0.2"/>
    <row r="46" spans="2:32" ht="15" customHeight="1" x14ac:dyDescent="0.2"/>
    <row r="47" spans="2:32" ht="15" customHeight="1" thickBot="1" x14ac:dyDescent="0.3">
      <c r="B47" s="168" t="s">
        <v>92</v>
      </c>
      <c r="C47" s="168"/>
      <c r="D47" s="168"/>
      <c r="E47" s="162" t="s">
        <v>93</v>
      </c>
      <c r="F47" s="162"/>
      <c r="G47" s="162"/>
      <c r="H47" s="162"/>
      <c r="I47" s="162"/>
      <c r="J47" s="162" t="s">
        <v>94</v>
      </c>
      <c r="K47" s="162"/>
      <c r="L47" s="162"/>
      <c r="M47" s="162"/>
      <c r="N47" s="162"/>
      <c r="O47" s="162"/>
    </row>
    <row r="48" spans="2:32" ht="15" customHeight="1" x14ac:dyDescent="0.2">
      <c r="B48" s="140" t="s">
        <v>95</v>
      </c>
      <c r="C48" s="141"/>
      <c r="D48" s="142"/>
      <c r="E48" s="143"/>
      <c r="F48" s="141"/>
      <c r="G48" s="141"/>
      <c r="H48" s="143"/>
      <c r="I48" s="144"/>
      <c r="J48" s="145"/>
      <c r="K48" s="145"/>
      <c r="L48" s="145"/>
      <c r="M48" s="145"/>
      <c r="N48" s="145"/>
      <c r="O48" s="146"/>
    </row>
    <row r="49" spans="1:15" ht="15" customHeight="1" x14ac:dyDescent="0.2">
      <c r="B49" s="147" t="s">
        <v>96</v>
      </c>
      <c r="C49" s="148"/>
      <c r="D49" s="149"/>
      <c r="F49" s="148"/>
      <c r="G49" s="148"/>
      <c r="I49" s="150"/>
      <c r="J49" s="151"/>
      <c r="K49" s="151"/>
      <c r="L49" s="151"/>
      <c r="M49" s="151"/>
      <c r="N49" s="151"/>
      <c r="O49" s="152"/>
    </row>
    <row r="50" spans="1:15" ht="15" customHeight="1" x14ac:dyDescent="0.2">
      <c r="B50" s="147" t="s">
        <v>97</v>
      </c>
      <c r="C50" s="148"/>
      <c r="D50" s="149"/>
      <c r="F50" s="148"/>
      <c r="G50" s="148"/>
      <c r="I50" s="150"/>
      <c r="J50" s="151"/>
      <c r="K50" s="151"/>
      <c r="L50" s="151"/>
      <c r="M50" s="151"/>
      <c r="N50" s="151"/>
      <c r="O50" s="152"/>
    </row>
    <row r="51" spans="1:15" ht="15" customHeight="1" x14ac:dyDescent="0.2">
      <c r="B51" s="153" t="s">
        <v>98</v>
      </c>
      <c r="C51" s="148"/>
      <c r="D51" s="149"/>
      <c r="F51" s="148"/>
      <c r="G51" s="148"/>
      <c r="I51" s="150"/>
      <c r="J51" s="151"/>
      <c r="K51" s="151"/>
      <c r="L51" s="151"/>
      <c r="M51" s="151"/>
      <c r="N51" s="151"/>
      <c r="O51" s="152"/>
    </row>
    <row r="52" spans="1:15" ht="15" customHeight="1" x14ac:dyDescent="0.2">
      <c r="B52" s="147" t="s">
        <v>99</v>
      </c>
      <c r="C52" s="148"/>
      <c r="D52" s="149"/>
      <c r="F52" s="148"/>
      <c r="G52" s="148"/>
      <c r="I52" s="150"/>
      <c r="J52" s="151"/>
      <c r="K52" s="151"/>
      <c r="L52" s="151"/>
      <c r="M52" s="151"/>
      <c r="N52" s="151"/>
      <c r="O52" s="152"/>
    </row>
    <row r="53" spans="1:15" ht="15" customHeight="1" x14ac:dyDescent="0.2">
      <c r="B53" s="147" t="s">
        <v>100</v>
      </c>
      <c r="C53" s="148"/>
      <c r="D53" s="149"/>
      <c r="F53" s="148"/>
      <c r="G53" s="148"/>
      <c r="I53" s="150"/>
      <c r="J53" s="151"/>
      <c r="K53" s="151"/>
      <c r="L53" s="151"/>
      <c r="M53" s="151"/>
      <c r="N53" s="151"/>
      <c r="O53" s="152"/>
    </row>
    <row r="54" spans="1:15" ht="15" customHeight="1" x14ac:dyDescent="0.2">
      <c r="B54" s="147" t="s">
        <v>101</v>
      </c>
      <c r="C54" s="148"/>
      <c r="D54" s="149"/>
      <c r="F54" s="148"/>
      <c r="G54" s="148"/>
      <c r="I54" s="150"/>
      <c r="J54" s="151"/>
      <c r="K54" s="151"/>
      <c r="L54" s="151"/>
      <c r="M54" s="151"/>
      <c r="N54" s="151"/>
      <c r="O54" s="152"/>
    </row>
    <row r="55" spans="1:15" ht="15" customHeight="1" x14ac:dyDescent="0.2">
      <c r="B55" s="147" t="s">
        <v>102</v>
      </c>
      <c r="C55" s="148"/>
      <c r="D55" s="149"/>
      <c r="E55" s="148"/>
      <c r="F55" s="148"/>
      <c r="G55" s="148"/>
      <c r="I55" s="150"/>
      <c r="J55" s="151"/>
      <c r="K55" s="151"/>
      <c r="L55" s="151"/>
      <c r="M55" s="151"/>
      <c r="N55" s="151"/>
      <c r="O55" s="152"/>
    </row>
    <row r="56" spans="1:15" ht="15" customHeight="1" x14ac:dyDescent="0.2">
      <c r="B56" s="147" t="s">
        <v>103</v>
      </c>
      <c r="D56" s="150"/>
      <c r="I56" s="150"/>
      <c r="J56" s="151"/>
      <c r="K56" s="151"/>
      <c r="L56" s="151"/>
      <c r="M56" s="151"/>
      <c r="N56" s="151"/>
      <c r="O56" s="152"/>
    </row>
    <row r="57" spans="1:15" ht="15" customHeight="1" x14ac:dyDescent="0.2">
      <c r="B57" s="147" t="s">
        <v>104</v>
      </c>
      <c r="D57" s="150"/>
      <c r="I57" s="150"/>
      <c r="O57" s="154"/>
    </row>
    <row r="58" spans="1:15" ht="15" customHeight="1" x14ac:dyDescent="0.2">
      <c r="B58" s="147" t="s">
        <v>105</v>
      </c>
      <c r="D58" s="150"/>
      <c r="I58" s="150"/>
      <c r="O58" s="154"/>
    </row>
    <row r="59" spans="1:15" ht="15" customHeight="1" x14ac:dyDescent="0.2">
      <c r="B59" s="147" t="s">
        <v>106</v>
      </c>
      <c r="D59" s="150"/>
      <c r="I59" s="150"/>
      <c r="O59" s="154"/>
    </row>
    <row r="60" spans="1:15" ht="15" customHeight="1" x14ac:dyDescent="0.2">
      <c r="B60" s="147" t="s">
        <v>107</v>
      </c>
      <c r="D60" s="150"/>
      <c r="I60" s="150"/>
      <c r="O60" s="154"/>
    </row>
    <row r="61" spans="1:15" ht="15" customHeight="1" x14ac:dyDescent="0.2">
      <c r="A61" s="154"/>
      <c r="B61" s="147" t="s">
        <v>108</v>
      </c>
      <c r="D61" s="150"/>
      <c r="I61" s="150"/>
      <c r="O61" s="154"/>
    </row>
    <row r="62" spans="1:15" ht="15" customHeight="1" thickBot="1" x14ac:dyDescent="0.25">
      <c r="A62" s="154"/>
      <c r="B62" s="155" t="s">
        <v>109</v>
      </c>
      <c r="C62" s="51"/>
      <c r="D62" s="156"/>
      <c r="E62" s="51"/>
      <c r="F62" s="51"/>
      <c r="G62" s="51"/>
      <c r="H62" s="51"/>
      <c r="I62" s="156"/>
      <c r="J62" s="51"/>
      <c r="K62" s="51"/>
      <c r="L62" s="51"/>
      <c r="M62" s="51"/>
      <c r="N62" s="51"/>
      <c r="O62" s="157"/>
    </row>
    <row r="63" spans="1:15" ht="15" customHeight="1" x14ac:dyDescent="0.2">
      <c r="B63" s="143"/>
    </row>
    <row r="64" spans="1:15" ht="15" customHeight="1" thickBot="1" x14ac:dyDescent="0.25">
      <c r="B64" s="162" t="s">
        <v>110</v>
      </c>
      <c r="C64" s="162"/>
      <c r="D64" s="162"/>
      <c r="E64" s="162"/>
      <c r="F64" s="162"/>
      <c r="G64" s="162"/>
      <c r="H64" s="162"/>
      <c r="I64" s="162"/>
      <c r="J64" s="162"/>
      <c r="K64" s="162"/>
      <c r="L64" s="162"/>
      <c r="M64" s="162"/>
      <c r="N64" s="162"/>
      <c r="O64" s="162"/>
    </row>
    <row r="65" spans="1:15" ht="15" customHeight="1" x14ac:dyDescent="0.2">
      <c r="A65" s="154"/>
      <c r="B65" s="158"/>
      <c r="C65" s="143"/>
      <c r="D65" s="143"/>
      <c r="E65" s="143"/>
      <c r="F65" s="143"/>
      <c r="G65" s="143"/>
      <c r="H65" s="143"/>
      <c r="I65" s="143"/>
      <c r="J65" s="143"/>
      <c r="K65" s="143"/>
      <c r="L65" s="143"/>
      <c r="M65" s="143"/>
      <c r="N65" s="143"/>
      <c r="O65" s="159"/>
    </row>
    <row r="66" spans="1:15" ht="15" customHeight="1" x14ac:dyDescent="0.2">
      <c r="A66" s="154"/>
      <c r="B66" s="160"/>
      <c r="O66" s="154"/>
    </row>
    <row r="67" spans="1:15" ht="15" customHeight="1" x14ac:dyDescent="0.2">
      <c r="B67" s="160"/>
      <c r="O67" s="154"/>
    </row>
    <row r="68" spans="1:15" ht="15" customHeight="1" x14ac:dyDescent="0.2">
      <c r="B68" s="160"/>
      <c r="O68" s="154"/>
    </row>
    <row r="69" spans="1:15" ht="15" customHeight="1" x14ac:dyDescent="0.2">
      <c r="B69" s="160"/>
      <c r="O69" s="154"/>
    </row>
    <row r="70" spans="1:15" ht="15" customHeight="1" x14ac:dyDescent="0.2">
      <c r="B70" s="160"/>
      <c r="O70" s="154"/>
    </row>
    <row r="71" spans="1:15" ht="15" customHeight="1" x14ac:dyDescent="0.2">
      <c r="B71" s="160"/>
      <c r="O71" s="154"/>
    </row>
    <row r="72" spans="1:15" ht="15" customHeight="1" x14ac:dyDescent="0.2">
      <c r="B72" s="160"/>
      <c r="O72" s="154"/>
    </row>
    <row r="73" spans="1:15" ht="15" customHeight="1" x14ac:dyDescent="0.2">
      <c r="B73" s="160"/>
      <c r="O73" s="154"/>
    </row>
    <row r="74" spans="1:15" ht="15" customHeight="1" x14ac:dyDescent="0.2">
      <c r="B74" s="160"/>
      <c r="O74" s="154"/>
    </row>
    <row r="75" spans="1:15" ht="15" customHeight="1" x14ac:dyDescent="0.2">
      <c r="B75" s="160"/>
      <c r="O75" s="154"/>
    </row>
    <row r="76" spans="1:15" ht="15" customHeight="1" x14ac:dyDescent="0.2">
      <c r="B76" s="160"/>
      <c r="O76" s="154"/>
    </row>
    <row r="77" spans="1:15" ht="15" customHeight="1" x14ac:dyDescent="0.2">
      <c r="B77" s="160"/>
      <c r="O77" s="154"/>
    </row>
    <row r="78" spans="1:15" ht="15" customHeight="1" x14ac:dyDescent="0.2">
      <c r="B78" s="160"/>
      <c r="O78" s="154"/>
    </row>
    <row r="79" spans="1:15" ht="15" customHeight="1" x14ac:dyDescent="0.2">
      <c r="B79" s="160"/>
      <c r="O79" s="154"/>
    </row>
    <row r="80" spans="1:15" ht="15" customHeight="1" x14ac:dyDescent="0.2">
      <c r="B80" s="160"/>
      <c r="O80" s="154"/>
    </row>
    <row r="81" spans="2:15" ht="15" customHeight="1" x14ac:dyDescent="0.2">
      <c r="B81" s="160"/>
      <c r="O81" s="154"/>
    </row>
    <row r="82" spans="2:15" ht="15" customHeight="1" x14ac:dyDescent="0.2">
      <c r="B82" s="160"/>
      <c r="O82" s="154"/>
    </row>
    <row r="83" spans="2:15" ht="15" customHeight="1" x14ac:dyDescent="0.2">
      <c r="B83" s="160"/>
      <c r="O83" s="154"/>
    </row>
    <row r="84" spans="2:15" ht="15" customHeight="1" x14ac:dyDescent="0.2">
      <c r="B84" s="160"/>
      <c r="O84" s="154"/>
    </row>
    <row r="85" spans="2:15" ht="15" customHeight="1" x14ac:dyDescent="0.2">
      <c r="B85" s="160"/>
      <c r="O85" s="154"/>
    </row>
    <row r="86" spans="2:15" ht="15" customHeight="1" x14ac:dyDescent="0.2">
      <c r="B86" s="160"/>
      <c r="O86" s="154"/>
    </row>
    <row r="87" spans="2:15" ht="15" customHeight="1" thickBot="1" x14ac:dyDescent="0.25">
      <c r="B87" s="161"/>
      <c r="C87" s="51"/>
      <c r="D87" s="51"/>
      <c r="E87" s="51"/>
      <c r="F87" s="51"/>
      <c r="G87" s="51"/>
      <c r="H87" s="51"/>
      <c r="I87" s="51"/>
      <c r="J87" s="51"/>
      <c r="K87" s="51"/>
      <c r="L87" s="51"/>
      <c r="M87" s="51"/>
      <c r="N87" s="51"/>
      <c r="O87" s="157"/>
    </row>
    <row r="88" spans="2:15" ht="15" customHeight="1" x14ac:dyDescent="0.2">
      <c r="B88" s="143"/>
      <c r="O88" s="143"/>
    </row>
    <row r="89" spans="2:15" ht="15" customHeight="1" x14ac:dyDescent="0.2"/>
    <row r="90" spans="2:15" ht="15" customHeight="1" x14ac:dyDescent="0.2"/>
    <row r="91" spans="2:15" ht="15" customHeight="1" x14ac:dyDescent="0.25">
      <c r="C91"/>
      <c r="D91"/>
      <c r="E91"/>
      <c r="F91"/>
      <c r="G91"/>
      <c r="H91"/>
      <c r="I91"/>
      <c r="J91"/>
      <c r="K91"/>
      <c r="L91"/>
      <c r="M91"/>
      <c r="N91"/>
    </row>
    <row r="92" spans="2:15" ht="15" customHeight="1" x14ac:dyDescent="0.25">
      <c r="C92"/>
      <c r="D92"/>
      <c r="E92"/>
      <c r="F92"/>
      <c r="G92"/>
      <c r="H92"/>
      <c r="I92"/>
      <c r="J92"/>
      <c r="K92"/>
      <c r="L92"/>
      <c r="M92"/>
      <c r="N92"/>
    </row>
    <row r="93" spans="2:15" ht="15" customHeight="1" x14ac:dyDescent="0.25">
      <c r="C93"/>
      <c r="D93"/>
      <c r="E93"/>
      <c r="F93"/>
      <c r="G93"/>
      <c r="H93"/>
      <c r="I93"/>
      <c r="J93"/>
      <c r="K93"/>
      <c r="L93"/>
      <c r="M93"/>
      <c r="N93"/>
    </row>
    <row r="94" spans="2:15" ht="15" x14ac:dyDescent="0.25">
      <c r="C94"/>
      <c r="D94"/>
      <c r="E94"/>
      <c r="F94"/>
      <c r="G94"/>
      <c r="H94"/>
      <c r="I94"/>
      <c r="J94"/>
      <c r="K94"/>
      <c r="L94"/>
      <c r="M94"/>
      <c r="N94"/>
    </row>
    <row r="95" spans="2:15" ht="15" x14ac:dyDescent="0.25">
      <c r="C95"/>
      <c r="D95"/>
      <c r="E95"/>
      <c r="F95"/>
      <c r="G95"/>
      <c r="H95"/>
      <c r="I95"/>
      <c r="J95"/>
      <c r="K95"/>
      <c r="L95"/>
      <c r="M95"/>
      <c r="N95"/>
    </row>
    <row r="96" spans="2:15" ht="15" x14ac:dyDescent="0.25">
      <c r="C96"/>
      <c r="D96"/>
      <c r="E96"/>
      <c r="F96"/>
      <c r="G96"/>
      <c r="H96"/>
      <c r="I96"/>
      <c r="J96"/>
      <c r="K96"/>
      <c r="L96"/>
      <c r="M96"/>
      <c r="N96"/>
    </row>
  </sheetData>
  <mergeCells count="48">
    <mergeCell ref="K8:L8"/>
    <mergeCell ref="N8:N9"/>
    <mergeCell ref="F2:K2"/>
    <mergeCell ref="F3:K3"/>
    <mergeCell ref="C4:N4"/>
    <mergeCell ref="B5:C5"/>
    <mergeCell ref="H5:J5"/>
    <mergeCell ref="C12:H12"/>
    <mergeCell ref="J12:O12"/>
    <mergeCell ref="B13:B14"/>
    <mergeCell ref="C13:C14"/>
    <mergeCell ref="D13:F13"/>
    <mergeCell ref="G13:H13"/>
    <mergeCell ref="J13:J14"/>
    <mergeCell ref="K13:M13"/>
    <mergeCell ref="N13:O13"/>
    <mergeCell ref="Q13:R13"/>
    <mergeCell ref="B23:D23"/>
    <mergeCell ref="E23:G23"/>
    <mergeCell ref="H23:L23"/>
    <mergeCell ref="B24:C24"/>
    <mergeCell ref="E24:G24"/>
    <mergeCell ref="H24:J24"/>
    <mergeCell ref="K24:L24"/>
    <mergeCell ref="M24:O25"/>
    <mergeCell ref="I25:J25"/>
    <mergeCell ref="B38:O38"/>
    <mergeCell ref="I26:J26"/>
    <mergeCell ref="M26:O29"/>
    <mergeCell ref="I28:J28"/>
    <mergeCell ref="I29:J29"/>
    <mergeCell ref="I30:J30"/>
    <mergeCell ref="I31:J31"/>
    <mergeCell ref="M31:N31"/>
    <mergeCell ref="I32:J32"/>
    <mergeCell ref="M34:N34"/>
    <mergeCell ref="C37:E37"/>
    <mergeCell ref="H37:K37"/>
    <mergeCell ref="N37:O37"/>
    <mergeCell ref="I33:J33"/>
    <mergeCell ref="M35:N35"/>
    <mergeCell ref="B64:O64"/>
    <mergeCell ref="C40:N40"/>
    <mergeCell ref="E43:L43"/>
    <mergeCell ref="E44:L44"/>
    <mergeCell ref="B47:D47"/>
    <mergeCell ref="E47:I47"/>
    <mergeCell ref="J47:O47"/>
  </mergeCells>
  <conditionalFormatting sqref="O31">
    <cfRule type="cellIs" dxfId="15" priority="13" operator="equal">
      <formula>"Pass"</formula>
    </cfRule>
    <cfRule type="cellIs" dxfId="14" priority="14" operator="equal">
      <formula>"Fail"</formula>
    </cfRule>
  </conditionalFormatting>
  <conditionalFormatting sqref="I28:I32">
    <cfRule type="cellIs" dxfId="13" priority="12" stopIfTrue="1" operator="notBetween">
      <formula>-0.02</formula>
      <formula>0.02</formula>
    </cfRule>
  </conditionalFormatting>
  <conditionalFormatting sqref="L28:L32">
    <cfRule type="cellIs" dxfId="12" priority="11" stopIfTrue="1" operator="notBetween">
      <formula>-5.1</formula>
      <formula>5.1</formula>
    </cfRule>
  </conditionalFormatting>
  <conditionalFormatting sqref="I28:I32">
    <cfRule type="containsBlanks" dxfId="11" priority="10" stopIfTrue="1">
      <formula>LEN(TRIM(I28))=0</formula>
    </cfRule>
  </conditionalFormatting>
  <conditionalFormatting sqref="I28:I32">
    <cfRule type="cellIs" dxfId="10" priority="15" operator="between">
      <formula>-0.02</formula>
      <formula>0.02</formula>
    </cfRule>
  </conditionalFormatting>
  <conditionalFormatting sqref="L28:L32">
    <cfRule type="cellIs" dxfId="9" priority="16" operator="between">
      <formula>-5.1</formula>
      <formula>5.1</formula>
    </cfRule>
  </conditionalFormatting>
  <conditionalFormatting sqref="L28:L32">
    <cfRule type="containsBlanks" dxfId="8" priority="9" stopIfTrue="1">
      <formula>LEN(TRIM(L28))=0</formula>
    </cfRule>
  </conditionalFormatting>
  <conditionalFormatting sqref="I33">
    <cfRule type="cellIs" dxfId="7" priority="6" stopIfTrue="1" operator="notBetween">
      <formula>-0.02</formula>
      <formula>0.02</formula>
    </cfRule>
  </conditionalFormatting>
  <conditionalFormatting sqref="L33">
    <cfRule type="cellIs" dxfId="6" priority="5" stopIfTrue="1" operator="notBetween">
      <formula>-5.1</formula>
      <formula>5.1</formula>
    </cfRule>
  </conditionalFormatting>
  <conditionalFormatting sqref="I33">
    <cfRule type="containsBlanks" dxfId="5" priority="4" stopIfTrue="1">
      <formula>LEN(TRIM(I33))=0</formula>
    </cfRule>
  </conditionalFormatting>
  <conditionalFormatting sqref="I33">
    <cfRule type="cellIs" dxfId="4" priority="7" operator="between">
      <formula>-0.02</formula>
      <formula>0.02</formula>
    </cfRule>
  </conditionalFormatting>
  <conditionalFormatting sqref="L33">
    <cfRule type="cellIs" dxfId="3" priority="8" operator="between">
      <formula>-5.1</formula>
      <formula>5.1</formula>
    </cfRule>
  </conditionalFormatting>
  <conditionalFormatting sqref="L33">
    <cfRule type="containsBlanks" dxfId="2" priority="3" stopIfTrue="1">
      <formula>LEN(TRIM(L33))=0</formula>
    </cfRule>
  </conditionalFormatting>
  <conditionalFormatting sqref="O35">
    <cfRule type="cellIs" dxfId="1" priority="1" operator="equal">
      <formula>"Pass"</formula>
    </cfRule>
    <cfRule type="cellIs" dxfId="0" priority="2" operator="equal">
      <formula>"Fail"</formula>
    </cfRule>
  </conditionalFormatting>
  <hyperlinks>
    <hyperlink ref="W6" r:id="rId1" display="Bar. Pressure (in Hg):" xr:uid="{F90FBC71-2646-4B65-BDA5-C2909B245C52}"/>
    <hyperlink ref="E6" r:id="rId2" xr:uid="{433A4B87-36F7-4AF9-85EB-EABDA6F64B6A}"/>
  </hyperlinks>
  <pageMargins left="0.7" right="0.7" top="0.75" bottom="0.75" header="0.3" footer="0.3"/>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11</vt:i4>
      </vt:variant>
    </vt:vector>
  </HeadingPairs>
  <TitlesOfParts>
    <vt:vector size="12" baseType="lpstr">
      <vt:lpstr>Sheet1</vt:lpstr>
      <vt:lpstr>Sheet1!counts_std</vt:lpstr>
      <vt:lpstr>Sheet1!Gamma</vt:lpstr>
      <vt:lpstr>Sheet1!K_1</vt:lpstr>
      <vt:lpstr>Sheet1!P_b</vt:lpstr>
      <vt:lpstr>Sheet1!P_Count</vt:lpstr>
      <vt:lpstr>Sheet1!P_m</vt:lpstr>
      <vt:lpstr>Sheet1!P_w</vt:lpstr>
      <vt:lpstr>Sheet1!runtime</vt:lpstr>
      <vt:lpstr>Sheet1!V_w</vt:lpstr>
      <vt:lpstr>Sheet1!Vm_std</vt:lpstr>
      <vt:lpstr>Sheet1!Vw_std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Todom</dc:creator>
  <cp:lastModifiedBy>Annie</cp:lastModifiedBy>
  <dcterms:created xsi:type="dcterms:W3CDTF">2021-06-15T12:58:53Z</dcterms:created>
  <dcterms:modified xsi:type="dcterms:W3CDTF">2022-06-02T13:43:20Z</dcterms:modified>
</cp:coreProperties>
</file>